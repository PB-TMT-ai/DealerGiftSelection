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11/relationships/webextensiontaskpanes" Target="xl/webextensions/taskpanes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6"/>
  <workbookPr defaultThemeVersion="166925"/>
  <xr:revisionPtr revIDLastSave="0" documentId="8_{BCB7E28B-BD9A-4212-A0EF-FA2E3E19AA5C}" xr6:coauthVersionLast="47" xr6:coauthVersionMax="47" xr10:uidLastSave="{00000000-0000-0000-0000-000000000000}"/>
  <bookViews>
    <workbookView xWindow="240" yWindow="105" windowWidth="14805" windowHeight="8010" firstSheet="1" activeTab="1" xr2:uid="{00000000-000D-0000-FFFF-FFFF00000000}"/>
  </bookViews>
  <sheets>
    <sheet name="Summary Dashboard" sheetId="4" state="hidden" r:id="rId1"/>
    <sheet name="Data" sheetId="1" r:id="rId2"/>
    <sheet name="Sheet2" sheetId="2" r:id="rId3"/>
  </sheets>
  <definedNames>
    <definedName name="_xlnm._FilterDatabase" localSheetId="1" hidden="1">Data!$A$1:$AB$1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2" i="1" l="1"/>
  <c r="J293" i="1"/>
  <c r="J292" i="1"/>
  <c r="J291" i="1"/>
  <c r="J290" i="1"/>
  <c r="J289" i="1"/>
  <c r="J288" i="1"/>
  <c r="J287" i="1"/>
  <c r="J286" i="1"/>
  <c r="J285" i="1"/>
  <c r="J284" i="1"/>
  <c r="J283" i="1"/>
  <c r="J282" i="1"/>
  <c r="J281" i="1"/>
  <c r="J280" i="1"/>
  <c r="J279" i="1"/>
  <c r="J278" i="1"/>
  <c r="J277" i="1"/>
  <c r="J276" i="1"/>
  <c r="J275" i="1"/>
  <c r="J274" i="1"/>
  <c r="J273" i="1"/>
  <c r="J272" i="1"/>
  <c r="J271" i="1"/>
  <c r="J270" i="1"/>
  <c r="J269" i="1"/>
  <c r="J268" i="1"/>
  <c r="J267" i="1"/>
  <c r="J266" i="1"/>
  <c r="J265" i="1"/>
  <c r="J264" i="1"/>
  <c r="J263" i="1"/>
  <c r="J262" i="1"/>
  <c r="J261" i="1"/>
  <c r="J260" i="1"/>
  <c r="J259" i="1"/>
  <c r="J258" i="1"/>
  <c r="J257" i="1"/>
  <c r="J256" i="1"/>
  <c r="J255" i="1"/>
  <c r="J254" i="1"/>
  <c r="J253" i="1"/>
  <c r="J252" i="1"/>
  <c r="J251" i="1"/>
  <c r="J250" i="1"/>
  <c r="J249" i="1"/>
  <c r="J248" i="1"/>
  <c r="J247" i="1"/>
  <c r="J246" i="1"/>
  <c r="J245" i="1"/>
  <c r="J244" i="1"/>
  <c r="J243" i="1"/>
  <c r="J242" i="1"/>
  <c r="J241" i="1"/>
  <c r="J240" i="1"/>
  <c r="J239" i="1"/>
  <c r="J238" i="1"/>
  <c r="J237" i="1"/>
  <c r="J236" i="1"/>
  <c r="J235" i="1"/>
  <c r="J234" i="1"/>
  <c r="J233" i="1"/>
  <c r="J232" i="1"/>
  <c r="J231" i="1"/>
  <c r="J230" i="1"/>
  <c r="J229" i="1"/>
  <c r="J228" i="1"/>
  <c r="J227" i="1"/>
  <c r="J226" i="1"/>
  <c r="J225" i="1"/>
  <c r="J224" i="1"/>
  <c r="J223" i="1"/>
  <c r="J222" i="1"/>
  <c r="J221" i="1"/>
  <c r="J220" i="1"/>
  <c r="J219" i="1"/>
  <c r="J218" i="1"/>
  <c r="J217" i="1"/>
  <c r="J216" i="1"/>
  <c r="J215" i="1"/>
  <c r="J214" i="1"/>
  <c r="J213" i="1"/>
  <c r="J212" i="1"/>
  <c r="J211" i="1"/>
  <c r="J210" i="1"/>
  <c r="J209" i="1"/>
  <c r="J208" i="1"/>
  <c r="J207" i="1"/>
  <c r="J206" i="1"/>
  <c r="J205" i="1"/>
  <c r="J204" i="1"/>
  <c r="J203" i="1"/>
  <c r="J202" i="1"/>
  <c r="J201" i="1"/>
  <c r="J200" i="1"/>
  <c r="J199" i="1"/>
  <c r="J198" i="1"/>
  <c r="J197" i="1"/>
  <c r="J196" i="1"/>
  <c r="J195" i="1"/>
  <c r="J194" i="1"/>
  <c r="J193" i="1"/>
  <c r="J192" i="1"/>
  <c r="J191" i="1"/>
  <c r="J190" i="1"/>
  <c r="J189" i="1"/>
  <c r="J188" i="1"/>
  <c r="J187" i="1"/>
  <c r="J186" i="1"/>
  <c r="J185" i="1"/>
  <c r="J184" i="1"/>
  <c r="J183" i="1"/>
  <c r="J182" i="1"/>
  <c r="J181" i="1"/>
  <c r="J180" i="1"/>
  <c r="J179" i="1"/>
  <c r="J178" i="1"/>
  <c r="J177" i="1"/>
  <c r="J176" i="1"/>
  <c r="J175" i="1"/>
  <c r="J174" i="1"/>
  <c r="J173" i="1"/>
  <c r="J172" i="1"/>
  <c r="J171" i="1"/>
  <c r="J170" i="1"/>
  <c r="J169" i="1"/>
  <c r="J168" i="1"/>
  <c r="J167" i="1"/>
  <c r="J166" i="1"/>
  <c r="J165" i="1"/>
  <c r="J164" i="1"/>
  <c r="J163" i="1"/>
  <c r="J162" i="1"/>
  <c r="J161" i="1"/>
  <c r="J160" i="1"/>
  <c r="J159" i="1"/>
  <c r="J158" i="1"/>
  <c r="J157" i="1"/>
  <c r="J156" i="1"/>
  <c r="J155" i="1"/>
  <c r="J154" i="1"/>
  <c r="J153" i="1"/>
  <c r="J152" i="1"/>
  <c r="J151" i="1"/>
  <c r="J150" i="1"/>
  <c r="J149" i="1"/>
  <c r="J148" i="1"/>
  <c r="J147" i="1"/>
  <c r="J146" i="1"/>
  <c r="J145" i="1"/>
  <c r="J144" i="1"/>
  <c r="J143" i="1"/>
  <c r="J142" i="1"/>
  <c r="J141" i="1"/>
  <c r="J140" i="1"/>
  <c r="J139" i="1"/>
  <c r="J138" i="1"/>
  <c r="J137" i="1"/>
  <c r="J136" i="1"/>
  <c r="J135" i="1"/>
  <c r="J134" i="1"/>
  <c r="J133" i="1"/>
  <c r="J132" i="1"/>
  <c r="J131" i="1"/>
  <c r="J130" i="1"/>
  <c r="J129" i="1"/>
  <c r="J128" i="1"/>
  <c r="J127" i="1"/>
  <c r="J126" i="1"/>
  <c r="J125" i="1"/>
  <c r="J124" i="1"/>
  <c r="J123" i="1"/>
  <c r="J122" i="1"/>
  <c r="J121" i="1"/>
  <c r="J120" i="1"/>
  <c r="J119" i="1"/>
  <c r="J118" i="1"/>
  <c r="J117" i="1"/>
  <c r="J116" i="1"/>
  <c r="J115" i="1"/>
  <c r="J114" i="1"/>
  <c r="J113" i="1"/>
  <c r="J112" i="1"/>
  <c r="J111" i="1"/>
  <c r="J110" i="1"/>
  <c r="J109" i="1"/>
  <c r="J108" i="1"/>
  <c r="J107" i="1"/>
  <c r="J106" i="1"/>
  <c r="J105" i="1"/>
  <c r="J104" i="1"/>
  <c r="J103" i="1"/>
  <c r="J102" i="1"/>
  <c r="J101" i="1"/>
  <c r="J100" i="1"/>
  <c r="J99" i="1"/>
  <c r="J98" i="1"/>
  <c r="J97" i="1"/>
  <c r="J96" i="1"/>
  <c r="J95" i="1"/>
  <c r="J94" i="1"/>
  <c r="J93" i="1"/>
  <c r="J92" i="1"/>
  <c r="J91" i="1"/>
  <c r="J90" i="1"/>
  <c r="J89" i="1"/>
  <c r="J88" i="1"/>
  <c r="J87" i="1"/>
  <c r="J86" i="1"/>
  <c r="J85" i="1"/>
  <c r="J84" i="1"/>
  <c r="J83" i="1"/>
  <c r="J82" i="1"/>
  <c r="J81" i="1"/>
  <c r="J80" i="1"/>
  <c r="J79" i="1"/>
  <c r="J78" i="1"/>
  <c r="J77" i="1"/>
  <c r="J76" i="1"/>
  <c r="J75" i="1"/>
  <c r="J74" i="1"/>
  <c r="J73" i="1"/>
  <c r="J72" i="1"/>
  <c r="J71" i="1"/>
  <c r="J70" i="1"/>
  <c r="J69" i="1"/>
  <c r="J68" i="1"/>
  <c r="J67" i="1"/>
  <c r="J66" i="1"/>
  <c r="J65" i="1"/>
  <c r="J64" i="1"/>
  <c r="J63" i="1"/>
  <c r="J62" i="1"/>
  <c r="J61" i="1"/>
  <c r="J60" i="1"/>
  <c r="J59" i="1"/>
  <c r="J58" i="1"/>
  <c r="J57" i="1"/>
  <c r="J56" i="1"/>
  <c r="J55" i="1"/>
  <c r="J54" i="1"/>
  <c r="J53" i="1"/>
  <c r="J52" i="1"/>
  <c r="J51" i="1"/>
  <c r="J50" i="1"/>
  <c r="J49" i="1"/>
  <c r="J48" i="1"/>
  <c r="J47" i="1"/>
  <c r="J46" i="1"/>
  <c r="J45" i="1"/>
  <c r="J44" i="1"/>
  <c r="J43" i="1"/>
  <c r="J42" i="1"/>
  <c r="J41" i="1"/>
  <c r="J40" i="1"/>
  <c r="J39" i="1"/>
  <c r="J38" i="1"/>
  <c r="J37" i="1"/>
  <c r="J36" i="1"/>
  <c r="J35" i="1"/>
  <c r="J34" i="1"/>
  <c r="J33" i="1"/>
  <c r="J32" i="1"/>
  <c r="J31" i="1"/>
  <c r="J30" i="1"/>
  <c r="J29" i="1"/>
  <c r="J28" i="1"/>
  <c r="J27" i="1"/>
  <c r="J26" i="1"/>
  <c r="J25" i="1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9" i="1"/>
  <c r="J8" i="1"/>
  <c r="J7" i="1"/>
  <c r="J6" i="1"/>
  <c r="J2" i="1"/>
  <c r="Z293" i="1"/>
  <c r="Z292" i="1"/>
  <c r="Z291" i="1"/>
  <c r="Z290" i="1"/>
  <c r="Z289" i="1"/>
  <c r="Z288" i="1"/>
  <c r="Z287" i="1"/>
  <c r="Z286" i="1"/>
  <c r="Z285" i="1"/>
  <c r="Z284" i="1"/>
  <c r="Z283" i="1"/>
  <c r="Z282" i="1"/>
  <c r="Z281" i="1"/>
  <c r="Z280" i="1"/>
  <c r="Z279" i="1"/>
  <c r="Z278" i="1"/>
  <c r="Z277" i="1"/>
  <c r="Z276" i="1"/>
  <c r="Z275" i="1"/>
  <c r="Z274" i="1"/>
  <c r="Z273" i="1"/>
  <c r="Z272" i="1"/>
  <c r="Z271" i="1"/>
  <c r="Z270" i="1"/>
  <c r="Z269" i="1"/>
  <c r="Z268" i="1"/>
  <c r="Z267" i="1"/>
  <c r="Z266" i="1"/>
  <c r="Z265" i="1"/>
  <c r="Z264" i="1"/>
  <c r="Z263" i="1"/>
  <c r="Z262" i="1"/>
  <c r="Z261" i="1"/>
  <c r="Z260" i="1"/>
  <c r="Z259" i="1"/>
  <c r="Z258" i="1"/>
  <c r="Z257" i="1"/>
  <c r="Z256" i="1"/>
  <c r="Z255" i="1"/>
  <c r="Z254" i="1"/>
  <c r="Z253" i="1"/>
  <c r="Z252" i="1"/>
  <c r="Z251" i="1"/>
  <c r="Z250" i="1"/>
  <c r="Z249" i="1"/>
  <c r="Z248" i="1"/>
  <c r="Z247" i="1"/>
  <c r="Z246" i="1"/>
  <c r="Z245" i="1"/>
  <c r="Z244" i="1"/>
  <c r="Z243" i="1"/>
  <c r="Z242" i="1"/>
  <c r="Z241" i="1"/>
  <c r="Z240" i="1"/>
  <c r="Z239" i="1"/>
  <c r="Z238" i="1"/>
  <c r="Z237" i="1"/>
  <c r="Z236" i="1"/>
  <c r="Z235" i="1"/>
  <c r="Z234" i="1"/>
  <c r="Z233" i="1"/>
  <c r="Z232" i="1"/>
  <c r="Z231" i="1"/>
  <c r="Z230" i="1"/>
  <c r="Z229" i="1"/>
  <c r="Z228" i="1"/>
  <c r="Z227" i="1"/>
  <c r="Z226" i="1"/>
  <c r="Z225" i="1"/>
  <c r="Z224" i="1"/>
  <c r="Z223" i="1"/>
  <c r="Z222" i="1"/>
  <c r="Z221" i="1"/>
  <c r="Z220" i="1"/>
  <c r="Z219" i="1"/>
  <c r="Z218" i="1"/>
  <c r="Z217" i="1"/>
  <c r="Z216" i="1"/>
  <c r="Z215" i="1"/>
  <c r="Z214" i="1"/>
  <c r="Z213" i="1"/>
  <c r="Z212" i="1"/>
  <c r="Z211" i="1"/>
  <c r="Z210" i="1"/>
  <c r="Z209" i="1"/>
  <c r="Z208" i="1"/>
  <c r="Z207" i="1"/>
  <c r="Z206" i="1"/>
  <c r="Z205" i="1"/>
  <c r="Z204" i="1"/>
  <c r="Z203" i="1"/>
  <c r="Z202" i="1"/>
  <c r="Z201" i="1"/>
  <c r="Z200" i="1"/>
  <c r="Z199" i="1"/>
  <c r="Z198" i="1"/>
  <c r="Z197" i="1"/>
  <c r="Z196" i="1"/>
  <c r="Z195" i="1"/>
  <c r="Z194" i="1"/>
  <c r="Z193" i="1"/>
  <c r="Z192" i="1"/>
  <c r="Z191" i="1"/>
  <c r="Z190" i="1"/>
  <c r="Z189" i="1"/>
  <c r="Z188" i="1"/>
  <c r="Z187" i="1"/>
  <c r="Z186" i="1"/>
  <c r="Z185" i="1"/>
  <c r="Z184" i="1"/>
  <c r="Z183" i="1"/>
  <c r="Z182" i="1"/>
  <c r="Z181" i="1"/>
  <c r="Z180" i="1"/>
  <c r="Z179" i="1"/>
  <c r="Z178" i="1"/>
  <c r="Z177" i="1"/>
  <c r="Z176" i="1"/>
  <c r="Z175" i="1"/>
  <c r="Z174" i="1"/>
  <c r="Z173" i="1"/>
  <c r="Z172" i="1"/>
  <c r="Z171" i="1"/>
  <c r="Z170" i="1"/>
  <c r="Z169" i="1"/>
  <c r="Z168" i="1"/>
  <c r="Z167" i="1"/>
  <c r="Z166" i="1"/>
  <c r="Z165" i="1"/>
  <c r="Z164" i="1"/>
  <c r="Z163" i="1"/>
  <c r="Z162" i="1"/>
  <c r="Z161" i="1"/>
  <c r="Z160" i="1"/>
  <c r="Z159" i="1"/>
  <c r="Z158" i="1"/>
  <c r="Z157" i="1"/>
  <c r="Z156" i="1"/>
  <c r="Z155" i="1"/>
  <c r="Z154" i="1"/>
  <c r="Z153" i="1"/>
  <c r="Z152" i="1"/>
  <c r="Z151" i="1"/>
  <c r="Z150" i="1"/>
  <c r="Z149" i="1"/>
  <c r="Z148" i="1"/>
  <c r="Z147" i="1"/>
  <c r="Z146" i="1"/>
  <c r="Z145" i="1"/>
  <c r="Z144" i="1"/>
  <c r="Z143" i="1"/>
  <c r="Z142" i="1"/>
  <c r="Z141" i="1"/>
  <c r="Z140" i="1"/>
  <c r="Z139" i="1"/>
  <c r="Z138" i="1"/>
  <c r="Z137" i="1"/>
  <c r="Z136" i="1"/>
  <c r="Z135" i="1"/>
  <c r="Z134" i="1"/>
  <c r="Z133" i="1"/>
  <c r="Z132" i="1"/>
  <c r="Z131" i="1"/>
  <c r="Z130" i="1"/>
  <c r="Z129" i="1"/>
  <c r="Z128" i="1"/>
  <c r="Z127" i="1"/>
  <c r="Z126" i="1"/>
  <c r="Z125" i="1"/>
  <c r="Z124" i="1"/>
  <c r="Z123" i="1"/>
  <c r="Z122" i="1"/>
  <c r="Z121" i="1"/>
  <c r="Z120" i="1"/>
  <c r="Z119" i="1"/>
  <c r="Z118" i="1"/>
  <c r="Z117" i="1"/>
  <c r="Z116" i="1"/>
  <c r="Z115" i="1"/>
  <c r="Z114" i="1"/>
  <c r="Z113" i="1"/>
  <c r="Z112" i="1"/>
  <c r="Z111" i="1"/>
  <c r="Z110" i="1"/>
  <c r="Z109" i="1"/>
  <c r="Z108" i="1"/>
  <c r="Z107" i="1"/>
  <c r="Z106" i="1"/>
  <c r="Z105" i="1"/>
  <c r="Z104" i="1"/>
  <c r="Z103" i="1"/>
  <c r="Z102" i="1"/>
  <c r="Z101" i="1"/>
  <c r="Z100" i="1"/>
  <c r="Z99" i="1"/>
  <c r="Z98" i="1"/>
  <c r="Z97" i="1"/>
  <c r="Z96" i="1"/>
  <c r="Z95" i="1"/>
  <c r="Z94" i="1"/>
  <c r="Z93" i="1"/>
  <c r="Z92" i="1"/>
  <c r="Z91" i="1"/>
  <c r="Z90" i="1"/>
  <c r="Z89" i="1"/>
  <c r="Z88" i="1"/>
  <c r="Z87" i="1"/>
  <c r="Z86" i="1"/>
  <c r="Z85" i="1"/>
  <c r="Z84" i="1"/>
  <c r="Z83" i="1"/>
  <c r="Z82" i="1"/>
  <c r="Z81" i="1"/>
  <c r="Z80" i="1"/>
  <c r="Z79" i="1"/>
  <c r="Z78" i="1"/>
  <c r="Z77" i="1"/>
  <c r="Z76" i="1"/>
  <c r="Z75" i="1"/>
  <c r="Z74" i="1"/>
  <c r="Z73" i="1"/>
  <c r="Z72" i="1"/>
  <c r="Z71" i="1"/>
  <c r="Z70" i="1"/>
  <c r="Z69" i="1"/>
  <c r="Z68" i="1"/>
  <c r="Z67" i="1"/>
  <c r="Z66" i="1"/>
  <c r="Z65" i="1"/>
  <c r="Z64" i="1"/>
  <c r="Z63" i="1"/>
  <c r="Z62" i="1"/>
  <c r="Z61" i="1"/>
  <c r="Z60" i="1"/>
  <c r="Z59" i="1"/>
  <c r="Z58" i="1"/>
  <c r="Z57" i="1"/>
  <c r="Z56" i="1"/>
  <c r="Z55" i="1"/>
  <c r="Z54" i="1"/>
  <c r="Z53" i="1"/>
  <c r="Z52" i="1"/>
  <c r="Z51" i="1"/>
  <c r="Z50" i="1"/>
  <c r="Z49" i="1"/>
  <c r="Z48" i="1"/>
  <c r="Z47" i="1"/>
  <c r="Z46" i="1"/>
  <c r="Z45" i="1"/>
  <c r="Z44" i="1"/>
  <c r="Z43" i="1"/>
  <c r="Z42" i="1"/>
  <c r="Z41" i="1"/>
  <c r="Z40" i="1"/>
  <c r="Z39" i="1"/>
  <c r="Z38" i="1"/>
  <c r="Z37" i="1"/>
  <c r="Z36" i="1"/>
  <c r="Z35" i="1"/>
  <c r="Z34" i="1"/>
  <c r="Z33" i="1"/>
  <c r="Z32" i="1"/>
  <c r="Z31" i="1"/>
  <c r="Z30" i="1"/>
  <c r="Z29" i="1"/>
  <c r="Z28" i="1"/>
  <c r="Z27" i="1"/>
  <c r="Z26" i="1"/>
  <c r="Z25" i="1"/>
  <c r="Z24" i="1"/>
  <c r="Z23" i="1"/>
  <c r="Z22" i="1"/>
  <c r="Z21" i="1"/>
  <c r="Z20" i="1"/>
  <c r="Z19" i="1"/>
  <c r="Z18" i="1"/>
  <c r="Z17" i="1"/>
  <c r="Z16" i="1"/>
  <c r="Z15" i="1"/>
  <c r="Z14" i="1"/>
  <c r="Z13" i="1"/>
  <c r="Z12" i="1"/>
  <c r="Z11" i="1"/>
  <c r="Z9" i="1"/>
  <c r="Z8" i="1"/>
  <c r="Z7" i="1"/>
  <c r="Z6" i="1"/>
  <c r="Z5" i="1"/>
  <c r="J5" i="1" s="1"/>
  <c r="Z4" i="1"/>
  <c r="J4" i="1" s="1"/>
  <c r="Z3" i="1"/>
  <c r="J3" i="1" s="1"/>
  <c r="C64" i="4"/>
  <c r="B64" i="4"/>
  <c r="C63" i="4"/>
  <c r="B63" i="4"/>
  <c r="C62" i="4"/>
  <c r="B62" i="4"/>
  <c r="C61" i="4"/>
  <c r="B61" i="4"/>
  <c r="C60" i="4"/>
  <c r="B60" i="4"/>
  <c r="C59" i="4"/>
  <c r="B59" i="4"/>
  <c r="C58" i="4"/>
  <c r="B58" i="4"/>
  <c r="C57" i="4"/>
  <c r="B57" i="4"/>
  <c r="C56" i="4"/>
  <c r="B56" i="4"/>
  <c r="C55" i="4"/>
  <c r="B55" i="4"/>
  <c r="C54" i="4"/>
  <c r="B54" i="4"/>
  <c r="C53" i="4"/>
  <c r="B53" i="4"/>
  <c r="C52" i="4"/>
  <c r="B52" i="4"/>
  <c r="C51" i="4"/>
  <c r="B51" i="4"/>
  <c r="C50" i="4"/>
  <c r="B50" i="4"/>
  <c r="C49" i="4"/>
  <c r="B49" i="4"/>
  <c r="C48" i="4"/>
  <c r="B48" i="4"/>
  <c r="C47" i="4"/>
  <c r="B47" i="4"/>
  <c r="C46" i="4"/>
  <c r="B46" i="4"/>
  <c r="C45" i="4"/>
  <c r="B45" i="4"/>
  <c r="C44" i="4"/>
  <c r="B44" i="4"/>
  <c r="C43" i="4"/>
  <c r="B43" i="4"/>
  <c r="C42" i="4"/>
  <c r="B42" i="4"/>
  <c r="C41" i="4"/>
  <c r="B41" i="4"/>
  <c r="C40" i="4"/>
  <c r="B40" i="4"/>
  <c r="C39" i="4"/>
  <c r="B39" i="4"/>
  <c r="C38" i="4"/>
  <c r="B38" i="4"/>
  <c r="C37" i="4"/>
  <c r="B37" i="4"/>
  <c r="C36" i="4"/>
  <c r="B36" i="4"/>
  <c r="C35" i="4"/>
  <c r="B35" i="4"/>
  <c r="C34" i="4"/>
  <c r="B34" i="4"/>
  <c r="C33" i="4"/>
  <c r="B33" i="4"/>
  <c r="C32" i="4"/>
  <c r="B32" i="4"/>
  <c r="C31" i="4"/>
  <c r="C65" i="4" s="1"/>
  <c r="B31" i="4"/>
  <c r="B65" i="4" s="1"/>
  <c r="C26" i="4" a="1"/>
  <c r="C26" i="4" s="1"/>
  <c r="B26" i="4" a="1"/>
  <c r="B26" i="4" s="1"/>
  <c r="C25" i="4" a="1"/>
  <c r="C25" i="4" s="1"/>
  <c r="B25" i="4" a="1"/>
  <c r="B25" i="4" s="1"/>
  <c r="C24" i="4" a="1"/>
  <c r="C24" i="4" s="1"/>
  <c r="B24" i="4" a="1"/>
  <c r="B24" i="4" s="1"/>
  <c r="C23" i="4" a="1"/>
  <c r="C23" i="4" s="1"/>
  <c r="B23" i="4" a="1"/>
  <c r="B23" i="4" s="1"/>
  <c r="C22" i="4" a="1"/>
  <c r="C22" i="4" s="1"/>
  <c r="B22" i="4" a="1"/>
  <c r="B22" i="4" s="1"/>
  <c r="C21" i="4" a="1"/>
  <c r="C21" i="4" s="1"/>
  <c r="B21" i="4" a="1"/>
  <c r="B21" i="4" s="1"/>
  <c r="C20" i="4" a="1"/>
  <c r="C20" i="4" s="1"/>
  <c r="B20" i="4" a="1"/>
  <c r="B20" i="4" s="1"/>
  <c r="C19" i="4" a="1"/>
  <c r="C19" i="4" s="1"/>
  <c r="B19" i="4" a="1"/>
  <c r="B19" i="4" s="1"/>
  <c r="C18" i="4" a="1"/>
  <c r="C18" i="4" s="1"/>
  <c r="B18" i="4" a="1"/>
  <c r="B18" i="4" s="1"/>
  <c r="C17" i="4" a="1"/>
  <c r="C17" i="4" s="1"/>
  <c r="B17" i="4" a="1"/>
  <c r="B17" i="4" s="1"/>
  <c r="C16" i="4" a="1"/>
  <c r="C16" i="4" s="1"/>
  <c r="B16" i="4" a="1"/>
  <c r="B16" i="4" s="1"/>
  <c r="C15" i="4" a="1"/>
  <c r="C15" i="4" s="1"/>
  <c r="B15" i="4" a="1"/>
  <c r="B15" i="4" s="1"/>
  <c r="C14" i="4" a="1"/>
  <c r="C14" i="4" s="1"/>
  <c r="B14" i="4" a="1"/>
  <c r="B14" i="4" s="1"/>
  <c r="C13" i="4" a="1"/>
  <c r="C13" i="4" s="1"/>
  <c r="B13" i="4" a="1"/>
  <c r="B13" i="4" s="1"/>
  <c r="C12" i="4" a="1"/>
  <c r="C12" i="4"/>
  <c r="C27" i="4" s="1"/>
  <c r="B12" i="4" a="1"/>
  <c r="B12" i="4"/>
  <c r="B27" i="4" s="1"/>
  <c r="C7" i="4"/>
  <c r="B7" i="4"/>
  <c r="C6" i="4"/>
  <c r="B6" i="4"/>
  <c r="C5" i="4"/>
  <c r="C8" i="4" s="1"/>
  <c r="B5" i="4"/>
  <c r="B8" i="4" s="1"/>
  <c r="AB153" i="1"/>
  <c r="AA153" i="1"/>
  <c r="AB152" i="1"/>
  <c r="AA152" i="1"/>
  <c r="AB151" i="1"/>
  <c r="AA151" i="1"/>
  <c r="AB150" i="1"/>
  <c r="AA150" i="1"/>
  <c r="AB149" i="1"/>
  <c r="AA149" i="1"/>
  <c r="AB148" i="1"/>
  <c r="AA148" i="1"/>
  <c r="AB147" i="1"/>
  <c r="AA147" i="1"/>
  <c r="AB146" i="1"/>
  <c r="AA146" i="1"/>
  <c r="AB145" i="1"/>
  <c r="AA145" i="1"/>
  <c r="AB144" i="1"/>
  <c r="AA144" i="1"/>
  <c r="AB167" i="1"/>
  <c r="AA167" i="1"/>
  <c r="AB61" i="1"/>
  <c r="AA61" i="1"/>
  <c r="AB60" i="1"/>
  <c r="AA60" i="1"/>
  <c r="AB51" i="1"/>
  <c r="AA51" i="1"/>
  <c r="AB50" i="1"/>
  <c r="AA50" i="1"/>
  <c r="AB49" i="1"/>
  <c r="AA49" i="1"/>
  <c r="AB45" i="1"/>
  <c r="AA45" i="1"/>
  <c r="AB48" i="1"/>
  <c r="AA48" i="1"/>
  <c r="AB47" i="1"/>
  <c r="AA47" i="1"/>
  <c r="AB46" i="1"/>
  <c r="AA46" i="1"/>
  <c r="AB52" i="1"/>
  <c r="AA52" i="1"/>
  <c r="AB58" i="1"/>
  <c r="AA58" i="1"/>
  <c r="AB57" i="1"/>
  <c r="AA57" i="1"/>
  <c r="AB59" i="1"/>
  <c r="AA59" i="1"/>
  <c r="AB259" i="1"/>
  <c r="AA259" i="1"/>
  <c r="AB258" i="1"/>
  <c r="AA258" i="1"/>
  <c r="AB257" i="1"/>
  <c r="AA257" i="1"/>
  <c r="AB256" i="1"/>
  <c r="AA256" i="1"/>
  <c r="AB56" i="1"/>
  <c r="AA56" i="1"/>
  <c r="AB255" i="1"/>
  <c r="AA255" i="1"/>
  <c r="AB254" i="1"/>
  <c r="AA254" i="1"/>
  <c r="AB253" i="1"/>
  <c r="AA253" i="1"/>
  <c r="AB252" i="1"/>
  <c r="AA252" i="1"/>
  <c r="AB251" i="1"/>
  <c r="AA251" i="1"/>
  <c r="AB250" i="1"/>
  <c r="AA250" i="1"/>
  <c r="AB249" i="1"/>
  <c r="AA249" i="1"/>
  <c r="AB248" i="1"/>
  <c r="AA248" i="1"/>
  <c r="AB247" i="1"/>
  <c r="AA247" i="1"/>
  <c r="AB246" i="1"/>
  <c r="AA246" i="1"/>
  <c r="AB245" i="1"/>
  <c r="AA245" i="1"/>
  <c r="AB244" i="1"/>
  <c r="AA244" i="1"/>
  <c r="AB35" i="1"/>
  <c r="AA35" i="1"/>
  <c r="AB55" i="1"/>
  <c r="AA55" i="1"/>
  <c r="AB54" i="1"/>
  <c r="AA54" i="1"/>
  <c r="AB53" i="1"/>
  <c r="AA53" i="1"/>
  <c r="AB34" i="1"/>
  <c r="AA34" i="1"/>
  <c r="AB29" i="1"/>
  <c r="AA29" i="1"/>
  <c r="AB28" i="1"/>
  <c r="AA28" i="1"/>
  <c r="AB27" i="1"/>
  <c r="AA27" i="1"/>
  <c r="AB26" i="1"/>
  <c r="AA26" i="1"/>
  <c r="AB25" i="1"/>
  <c r="AA25" i="1"/>
  <c r="AB24" i="1"/>
  <c r="AA24" i="1"/>
  <c r="AB23" i="1"/>
  <c r="AA23" i="1"/>
  <c r="AB22" i="1"/>
  <c r="AA22" i="1"/>
  <c r="AB3" i="1"/>
  <c r="AA3" i="1"/>
  <c r="AB21" i="1"/>
  <c r="AA21" i="1"/>
  <c r="AB20" i="1"/>
  <c r="AA20" i="1"/>
  <c r="AB19" i="1"/>
  <c r="AA19" i="1"/>
  <c r="AB18" i="1"/>
  <c r="AA18" i="1"/>
  <c r="AB17" i="1"/>
  <c r="AA17" i="1"/>
  <c r="AB16" i="1"/>
  <c r="AA16" i="1"/>
  <c r="AB15" i="1"/>
  <c r="AA15" i="1"/>
  <c r="AB14" i="1"/>
  <c r="AA14" i="1"/>
  <c r="AB13" i="1"/>
  <c r="AA13" i="1"/>
  <c r="AB33" i="1"/>
  <c r="AA33" i="1"/>
  <c r="AB12" i="1"/>
  <c r="AA12" i="1"/>
  <c r="AB32" i="1"/>
  <c r="AA32" i="1"/>
  <c r="AB31" i="1"/>
  <c r="AA31" i="1"/>
  <c r="AB30" i="1"/>
  <c r="AA30" i="1"/>
  <c r="AB143" i="1"/>
  <c r="AA143" i="1"/>
  <c r="AB142" i="1"/>
  <c r="AA142" i="1"/>
  <c r="AB202" i="1"/>
  <c r="AA202" i="1"/>
  <c r="AB201" i="1"/>
  <c r="AA201" i="1"/>
  <c r="AB200" i="1"/>
  <c r="AA200" i="1"/>
  <c r="AB199" i="1"/>
  <c r="AA199" i="1"/>
  <c r="AB187" i="1"/>
  <c r="AA187" i="1"/>
  <c r="AB198" i="1"/>
  <c r="AA198" i="1"/>
  <c r="AB186" i="1"/>
  <c r="AA186" i="1"/>
  <c r="AB185" i="1"/>
  <c r="AA185" i="1"/>
  <c r="AB184" i="1"/>
  <c r="AA184" i="1"/>
  <c r="AB183" i="1"/>
  <c r="AA183" i="1"/>
  <c r="AB197" i="1"/>
  <c r="AA197" i="1"/>
  <c r="AB196" i="1"/>
  <c r="AA196" i="1"/>
  <c r="AB195" i="1"/>
  <c r="AA195" i="1"/>
  <c r="AB194" i="1"/>
  <c r="AA194" i="1"/>
  <c r="AB193" i="1"/>
  <c r="AA193" i="1"/>
  <c r="AB192" i="1"/>
  <c r="AA192" i="1"/>
  <c r="AB182" i="1"/>
  <c r="AA182" i="1"/>
  <c r="AB191" i="1"/>
  <c r="AA191" i="1"/>
  <c r="AB190" i="1"/>
  <c r="AA190" i="1"/>
  <c r="AB189" i="1"/>
  <c r="AA189" i="1"/>
  <c r="AB181" i="1"/>
  <c r="AA181" i="1"/>
  <c r="AB155" i="1"/>
  <c r="AA155" i="1"/>
  <c r="AB154" i="1"/>
  <c r="AA154" i="1"/>
  <c r="AB180" i="1"/>
  <c r="AA180" i="1"/>
  <c r="AB188" i="1"/>
  <c r="AA188" i="1"/>
  <c r="AB179" i="1"/>
  <c r="AA179" i="1"/>
  <c r="AB178" i="1"/>
  <c r="AA178" i="1"/>
  <c r="AB177" i="1"/>
  <c r="AA177" i="1"/>
  <c r="AB176" i="1"/>
  <c r="AA176" i="1"/>
  <c r="AB175" i="1"/>
  <c r="AA175" i="1"/>
  <c r="AB174" i="1"/>
  <c r="AA174" i="1"/>
  <c r="AB173" i="1"/>
  <c r="AA173" i="1"/>
  <c r="AB172" i="1"/>
  <c r="AA172" i="1"/>
  <c r="AB171" i="1"/>
  <c r="AA171" i="1"/>
  <c r="AB11" i="1"/>
  <c r="AA11" i="1"/>
  <c r="AB2" i="1"/>
  <c r="AA2" i="1"/>
  <c r="AB170" i="1"/>
  <c r="AA170" i="1"/>
  <c r="AB169" i="1"/>
  <c r="AA169" i="1"/>
  <c r="AB10" i="1"/>
  <c r="AA10" i="1"/>
  <c r="AB168" i="1"/>
  <c r="AA168" i="1"/>
  <c r="AB9" i="1"/>
  <c r="AA9" i="1"/>
  <c r="AB8" i="1"/>
  <c r="AA8" i="1"/>
  <c r="AB7" i="1"/>
  <c r="AA7" i="1"/>
  <c r="AB6" i="1"/>
  <c r="AA6" i="1"/>
  <c r="AB76" i="1"/>
  <c r="AA76" i="1"/>
  <c r="AB5" i="1"/>
  <c r="AA5" i="1"/>
  <c r="AB75" i="1"/>
  <c r="AA75" i="1"/>
  <c r="AB74" i="1"/>
  <c r="AA74" i="1"/>
  <c r="AB4" i="1"/>
  <c r="AA4" i="1"/>
  <c r="AB73" i="1"/>
  <c r="AA73" i="1"/>
  <c r="AB72" i="1"/>
  <c r="AA72" i="1"/>
  <c r="AB71" i="1"/>
  <c r="AA71" i="1"/>
  <c r="AB40" i="1"/>
  <c r="AA40" i="1"/>
  <c r="AB39" i="1"/>
  <c r="AA39" i="1"/>
  <c r="AB38" i="1"/>
  <c r="AA38" i="1"/>
  <c r="AB70" i="1"/>
  <c r="AA70" i="1"/>
  <c r="AB140" i="1"/>
  <c r="AA140" i="1"/>
  <c r="AB69" i="1"/>
  <c r="AA69" i="1"/>
  <c r="AB37" i="1"/>
  <c r="AA37" i="1"/>
  <c r="AB36" i="1"/>
  <c r="AA36" i="1"/>
  <c r="AB139" i="1"/>
  <c r="AA139" i="1"/>
  <c r="AB68" i="1"/>
  <c r="AA68" i="1"/>
  <c r="AB67" i="1"/>
  <c r="AA67" i="1"/>
  <c r="AB66" i="1"/>
  <c r="AA66" i="1"/>
  <c r="AB65" i="1"/>
  <c r="AA65" i="1"/>
  <c r="AB138" i="1"/>
  <c r="AA138" i="1"/>
  <c r="AB137" i="1"/>
  <c r="AA137" i="1"/>
  <c r="AB166" i="1"/>
  <c r="AA166" i="1"/>
  <c r="AB98" i="1"/>
  <c r="AA98" i="1"/>
  <c r="AB136" i="1"/>
  <c r="AA136" i="1"/>
  <c r="AB135" i="1"/>
  <c r="AA135" i="1"/>
  <c r="AB134" i="1"/>
  <c r="AA134" i="1"/>
  <c r="AB165" i="1"/>
  <c r="AA165" i="1"/>
  <c r="AB97" i="1"/>
  <c r="AA97" i="1"/>
  <c r="AB133" i="1"/>
  <c r="AA133" i="1"/>
  <c r="AB96" i="1"/>
  <c r="AA96" i="1"/>
  <c r="AB95" i="1"/>
  <c r="AA95" i="1"/>
  <c r="AB94" i="1"/>
  <c r="AA94" i="1"/>
  <c r="AB164" i="1"/>
  <c r="AA164" i="1"/>
  <c r="AB132" i="1"/>
  <c r="AA132" i="1"/>
  <c r="AB131" i="1"/>
  <c r="AA131" i="1"/>
  <c r="AB130" i="1"/>
  <c r="AA130" i="1"/>
  <c r="AB129" i="1"/>
  <c r="AA129" i="1"/>
  <c r="AB128" i="1"/>
  <c r="AA128" i="1"/>
  <c r="AB163" i="1"/>
  <c r="AA163" i="1"/>
  <c r="AB162" i="1"/>
  <c r="AA162" i="1"/>
  <c r="AB127" i="1"/>
  <c r="AA127" i="1"/>
  <c r="AB93" i="1"/>
  <c r="AA93" i="1"/>
  <c r="AB92" i="1"/>
  <c r="AA92" i="1"/>
  <c r="AB236" i="1"/>
  <c r="AA236" i="1"/>
  <c r="AB62" i="1"/>
  <c r="AA62" i="1"/>
  <c r="AB235" i="1"/>
  <c r="AA235" i="1"/>
  <c r="AB269" i="1"/>
  <c r="AA269" i="1"/>
  <c r="AB234" i="1"/>
  <c r="AA234" i="1"/>
  <c r="AB233" i="1"/>
  <c r="AA233" i="1"/>
  <c r="AB232" i="1"/>
  <c r="AA232" i="1"/>
  <c r="AB231" i="1"/>
  <c r="AA231" i="1"/>
  <c r="AB230" i="1"/>
  <c r="AA230" i="1"/>
  <c r="AB229" i="1"/>
  <c r="AA229" i="1"/>
  <c r="AB91" i="1"/>
  <c r="AA91" i="1"/>
  <c r="AB228" i="1"/>
  <c r="AA228" i="1"/>
  <c r="AB227" i="1"/>
  <c r="AA227" i="1"/>
  <c r="AB226" i="1"/>
  <c r="AA226" i="1"/>
  <c r="AB268" i="1"/>
  <c r="AA268" i="1"/>
  <c r="AB90" i="1"/>
  <c r="AA90" i="1"/>
  <c r="AB89" i="1"/>
  <c r="AA89" i="1"/>
  <c r="AB88" i="1"/>
  <c r="AA88" i="1"/>
  <c r="AB87" i="1"/>
  <c r="AA87" i="1"/>
  <c r="AB267" i="1"/>
  <c r="AA267" i="1"/>
  <c r="AB86" i="1"/>
  <c r="AA86" i="1"/>
  <c r="AB266" i="1"/>
  <c r="AA266" i="1"/>
  <c r="AB265" i="1"/>
  <c r="AA265" i="1"/>
  <c r="AB85" i="1"/>
  <c r="AA85" i="1"/>
  <c r="AB84" i="1"/>
  <c r="AA84" i="1"/>
  <c r="AB264" i="1"/>
  <c r="AA264" i="1"/>
  <c r="AB83" i="1"/>
  <c r="AA83" i="1"/>
  <c r="AB82" i="1"/>
  <c r="AA82" i="1"/>
  <c r="AB81" i="1"/>
  <c r="AA81" i="1"/>
  <c r="AB80" i="1"/>
  <c r="AA80" i="1"/>
  <c r="AB263" i="1"/>
  <c r="AA263" i="1"/>
  <c r="AB79" i="1"/>
  <c r="AA79" i="1"/>
  <c r="AB262" i="1"/>
  <c r="AA262" i="1"/>
  <c r="AB261" i="1"/>
  <c r="AA261" i="1"/>
  <c r="AB282" i="1"/>
  <c r="AA282" i="1"/>
  <c r="AB281" i="1"/>
  <c r="AA281" i="1"/>
  <c r="AB111" i="1"/>
  <c r="AA111" i="1"/>
  <c r="AB280" i="1"/>
  <c r="AA280" i="1"/>
  <c r="AB279" i="1"/>
  <c r="AA279" i="1"/>
  <c r="AB278" i="1"/>
  <c r="AA278" i="1"/>
  <c r="AB277" i="1"/>
  <c r="AA277" i="1"/>
  <c r="AB276" i="1"/>
  <c r="AA276" i="1"/>
  <c r="AB275" i="1"/>
  <c r="AA275" i="1"/>
  <c r="AB77" i="1"/>
  <c r="AA77" i="1"/>
  <c r="AB274" i="1"/>
  <c r="AA274" i="1"/>
  <c r="AB273" i="1"/>
  <c r="AA273" i="1"/>
  <c r="AB272" i="1"/>
  <c r="AA272" i="1"/>
  <c r="AB260" i="1"/>
  <c r="AA260" i="1"/>
  <c r="AB78" i="1"/>
  <c r="AA78" i="1"/>
  <c r="AB271" i="1"/>
  <c r="AA271" i="1"/>
  <c r="AB270" i="1"/>
  <c r="AA270" i="1"/>
  <c r="AB44" i="1"/>
  <c r="AA44" i="1"/>
  <c r="AB43" i="1"/>
  <c r="AA43" i="1"/>
  <c r="AB42" i="1"/>
  <c r="AA42" i="1"/>
  <c r="AB41" i="1"/>
  <c r="AA41" i="1"/>
  <c r="AB213" i="1"/>
  <c r="AA213" i="1"/>
  <c r="AB212" i="1"/>
  <c r="AA212" i="1"/>
  <c r="AB110" i="1"/>
  <c r="AA110" i="1"/>
  <c r="AB211" i="1"/>
  <c r="AA211" i="1"/>
  <c r="AB210" i="1"/>
  <c r="AA210" i="1"/>
  <c r="AB109" i="1"/>
  <c r="AA109" i="1"/>
  <c r="AB209" i="1"/>
  <c r="AA209" i="1"/>
  <c r="AB208" i="1"/>
  <c r="AA208" i="1"/>
  <c r="AB207" i="1"/>
  <c r="AA207" i="1"/>
  <c r="AB108" i="1"/>
  <c r="AA108" i="1"/>
  <c r="AB206" i="1"/>
  <c r="AA206" i="1"/>
  <c r="AB205" i="1"/>
  <c r="AA205" i="1"/>
  <c r="AB204" i="1"/>
  <c r="AA204" i="1"/>
  <c r="AB107" i="1"/>
  <c r="AA107" i="1"/>
  <c r="AB203" i="1"/>
  <c r="AA203" i="1"/>
  <c r="AB293" i="1"/>
  <c r="AA293" i="1"/>
  <c r="AB292" i="1"/>
  <c r="AA292" i="1"/>
  <c r="AB291" i="1"/>
  <c r="AA291" i="1"/>
  <c r="AB290" i="1"/>
  <c r="AA290" i="1"/>
  <c r="AB289" i="1"/>
  <c r="AA289" i="1"/>
  <c r="AB288" i="1"/>
  <c r="AA288" i="1"/>
  <c r="AB287" i="1"/>
  <c r="AA287" i="1"/>
  <c r="AB286" i="1"/>
  <c r="AA286" i="1"/>
  <c r="AB285" i="1"/>
  <c r="AA285" i="1"/>
  <c r="AB284" i="1"/>
  <c r="AA284" i="1"/>
  <c r="AB64" i="1"/>
  <c r="AA64" i="1"/>
  <c r="AB283" i="1"/>
  <c r="AA283" i="1"/>
  <c r="AB106" i="1"/>
  <c r="AA106" i="1"/>
  <c r="AB105" i="1"/>
  <c r="AA105" i="1"/>
  <c r="AB104" i="1"/>
  <c r="AA104" i="1"/>
  <c r="AB103" i="1"/>
  <c r="AA103" i="1"/>
  <c r="AB225" i="1"/>
  <c r="AA225" i="1"/>
  <c r="AB102" i="1"/>
  <c r="AA102" i="1"/>
  <c r="AB161" i="1"/>
  <c r="AA161" i="1"/>
  <c r="AB160" i="1"/>
  <c r="AA160" i="1"/>
  <c r="AB159" i="1"/>
  <c r="AA159" i="1"/>
  <c r="AB101" i="1"/>
  <c r="AA101" i="1"/>
  <c r="AB100" i="1"/>
  <c r="AA100" i="1"/>
  <c r="AB99" i="1"/>
  <c r="AA99" i="1"/>
  <c r="AB224" i="1"/>
  <c r="AA224" i="1"/>
  <c r="AB223" i="1"/>
  <c r="AA223" i="1"/>
  <c r="AB222" i="1"/>
  <c r="AA222" i="1"/>
  <c r="AB126" i="1"/>
  <c r="AA126" i="1"/>
  <c r="AB221" i="1"/>
  <c r="AA221" i="1"/>
  <c r="AB220" i="1"/>
  <c r="AA220" i="1"/>
  <c r="AB158" i="1"/>
  <c r="AA158" i="1"/>
  <c r="AB219" i="1"/>
  <c r="AA219" i="1"/>
  <c r="AB218" i="1"/>
  <c r="AA218" i="1"/>
  <c r="AB217" i="1"/>
  <c r="AA217" i="1"/>
  <c r="AB216" i="1"/>
  <c r="AA216" i="1"/>
  <c r="AB125" i="1"/>
  <c r="AA125" i="1"/>
  <c r="AB63" i="1"/>
  <c r="AA63" i="1"/>
  <c r="AB215" i="1"/>
  <c r="AA215" i="1"/>
  <c r="AB124" i="1"/>
  <c r="AA124" i="1"/>
  <c r="AB214" i="1"/>
  <c r="AA214" i="1"/>
  <c r="AB123" i="1"/>
  <c r="AA123" i="1"/>
  <c r="AB157" i="1"/>
  <c r="AA157" i="1"/>
  <c r="AB156" i="1"/>
  <c r="AA156" i="1"/>
  <c r="AB243" i="1"/>
  <c r="AA243" i="1"/>
  <c r="AB122" i="1"/>
  <c r="AA122" i="1"/>
  <c r="AB121" i="1"/>
  <c r="AA121" i="1"/>
  <c r="AB120" i="1"/>
  <c r="AA120" i="1"/>
  <c r="AB119" i="1"/>
  <c r="AA119" i="1"/>
  <c r="AB118" i="1"/>
  <c r="AA118" i="1"/>
  <c r="AB117" i="1"/>
  <c r="AA117" i="1"/>
  <c r="AB141" i="1"/>
  <c r="AA141" i="1"/>
  <c r="AB116" i="1"/>
  <c r="AA116" i="1"/>
  <c r="AB242" i="1"/>
  <c r="AA242" i="1"/>
  <c r="AB115" i="1"/>
  <c r="AA115" i="1"/>
  <c r="AB241" i="1"/>
  <c r="AA241" i="1"/>
  <c r="AB114" i="1"/>
  <c r="AA114" i="1"/>
  <c r="AB240" i="1"/>
  <c r="AA240" i="1"/>
  <c r="AB239" i="1"/>
  <c r="AA239" i="1"/>
  <c r="AB113" i="1"/>
  <c r="AA113" i="1"/>
  <c r="AB238" i="1"/>
  <c r="AA238" i="1"/>
  <c r="AB112" i="1"/>
  <c r="AA112" i="1"/>
  <c r="AB237" i="1"/>
  <c r="AA237" i="1"/>
  <c r="Y153" i="1"/>
  <c r="X153" i="1"/>
  <c r="W153" i="1"/>
  <c r="V153" i="1"/>
  <c r="U153" i="1"/>
  <c r="T153" i="1"/>
  <c r="K153" i="1" s="1"/>
  <c r="Y152" i="1"/>
  <c r="X152" i="1"/>
  <c r="W152" i="1"/>
  <c r="V152" i="1"/>
  <c r="U152" i="1"/>
  <c r="T152" i="1"/>
  <c r="K152" i="1" s="1"/>
  <c r="Y151" i="1"/>
  <c r="X151" i="1"/>
  <c r="W151" i="1"/>
  <c r="V151" i="1"/>
  <c r="U151" i="1"/>
  <c r="T151" i="1"/>
  <c r="K151" i="1" s="1"/>
  <c r="Y150" i="1"/>
  <c r="X150" i="1"/>
  <c r="W150" i="1"/>
  <c r="V150" i="1"/>
  <c r="U150" i="1"/>
  <c r="T150" i="1"/>
  <c r="K150" i="1" s="1"/>
  <c r="Y149" i="1"/>
  <c r="X149" i="1"/>
  <c r="W149" i="1"/>
  <c r="V149" i="1"/>
  <c r="U149" i="1"/>
  <c r="T149" i="1"/>
  <c r="K149" i="1" s="1"/>
  <c r="Y148" i="1"/>
  <c r="X148" i="1"/>
  <c r="W148" i="1"/>
  <c r="V148" i="1"/>
  <c r="U148" i="1"/>
  <c r="T148" i="1"/>
  <c r="K148" i="1" s="1"/>
  <c r="Y147" i="1"/>
  <c r="X147" i="1"/>
  <c r="W147" i="1"/>
  <c r="V147" i="1"/>
  <c r="U147" i="1"/>
  <c r="T147" i="1"/>
  <c r="K147" i="1" s="1"/>
  <c r="Y146" i="1"/>
  <c r="X146" i="1"/>
  <c r="W146" i="1"/>
  <c r="V146" i="1"/>
  <c r="U146" i="1"/>
  <c r="T146" i="1"/>
  <c r="K146" i="1" s="1"/>
  <c r="Y145" i="1"/>
  <c r="X145" i="1"/>
  <c r="W145" i="1"/>
  <c r="V145" i="1"/>
  <c r="U145" i="1"/>
  <c r="T145" i="1"/>
  <c r="K145" i="1" s="1"/>
  <c r="Y144" i="1"/>
  <c r="X144" i="1"/>
  <c r="W144" i="1"/>
  <c r="V144" i="1"/>
  <c r="U144" i="1"/>
  <c r="T144" i="1"/>
  <c r="Y167" i="1"/>
  <c r="X167" i="1"/>
  <c r="W167" i="1"/>
  <c r="V167" i="1"/>
  <c r="U167" i="1"/>
  <c r="T167" i="1"/>
  <c r="Y61" i="1"/>
  <c r="X61" i="1"/>
  <c r="W61" i="1"/>
  <c r="V61" i="1"/>
  <c r="U61" i="1"/>
  <c r="T61" i="1"/>
  <c r="K61" i="1" s="1"/>
  <c r="Y60" i="1"/>
  <c r="X60" i="1"/>
  <c r="W60" i="1"/>
  <c r="V60" i="1"/>
  <c r="U60" i="1"/>
  <c r="T60" i="1"/>
  <c r="Y51" i="1"/>
  <c r="X51" i="1"/>
  <c r="W51" i="1"/>
  <c r="V51" i="1"/>
  <c r="U51" i="1"/>
  <c r="T51" i="1"/>
  <c r="K51" i="1" s="1"/>
  <c r="Y50" i="1"/>
  <c r="X50" i="1"/>
  <c r="W50" i="1"/>
  <c r="V50" i="1"/>
  <c r="U50" i="1"/>
  <c r="T50" i="1"/>
  <c r="K50" i="1" s="1"/>
  <c r="Y49" i="1"/>
  <c r="X49" i="1"/>
  <c r="W49" i="1"/>
  <c r="V49" i="1"/>
  <c r="U49" i="1"/>
  <c r="T49" i="1"/>
  <c r="K49" i="1" s="1"/>
  <c r="Y45" i="1"/>
  <c r="X45" i="1"/>
  <c r="W45" i="1"/>
  <c r="V45" i="1"/>
  <c r="U45" i="1"/>
  <c r="T45" i="1"/>
  <c r="K45" i="1" s="1"/>
  <c r="Y48" i="1"/>
  <c r="X48" i="1"/>
  <c r="W48" i="1"/>
  <c r="V48" i="1"/>
  <c r="U48" i="1"/>
  <c r="T48" i="1"/>
  <c r="K48" i="1" s="1"/>
  <c r="Y47" i="1"/>
  <c r="X47" i="1"/>
  <c r="W47" i="1"/>
  <c r="V47" i="1"/>
  <c r="U47" i="1"/>
  <c r="T47" i="1"/>
  <c r="K47" i="1" s="1"/>
  <c r="Y46" i="1"/>
  <c r="X46" i="1"/>
  <c r="W46" i="1"/>
  <c r="V46" i="1"/>
  <c r="U46" i="1"/>
  <c r="T46" i="1"/>
  <c r="Y52" i="1"/>
  <c r="X52" i="1"/>
  <c r="W52" i="1"/>
  <c r="V52" i="1"/>
  <c r="U52" i="1"/>
  <c r="T52" i="1"/>
  <c r="Y58" i="1"/>
  <c r="X58" i="1"/>
  <c r="W58" i="1"/>
  <c r="V58" i="1"/>
  <c r="U58" i="1"/>
  <c r="T58" i="1"/>
  <c r="Y57" i="1"/>
  <c r="X57" i="1"/>
  <c r="W57" i="1"/>
  <c r="V57" i="1"/>
  <c r="U57" i="1"/>
  <c r="T57" i="1"/>
  <c r="Y59" i="1"/>
  <c r="X59" i="1"/>
  <c r="W59" i="1"/>
  <c r="V59" i="1"/>
  <c r="U59" i="1"/>
  <c r="T59" i="1"/>
  <c r="Y259" i="1"/>
  <c r="X259" i="1"/>
  <c r="W259" i="1"/>
  <c r="V259" i="1"/>
  <c r="U259" i="1"/>
  <c r="T259" i="1"/>
  <c r="K259" i="1" s="1"/>
  <c r="Y258" i="1"/>
  <c r="X258" i="1"/>
  <c r="W258" i="1"/>
  <c r="V258" i="1"/>
  <c r="U258" i="1"/>
  <c r="T258" i="1"/>
  <c r="K258" i="1" s="1"/>
  <c r="Y257" i="1"/>
  <c r="X257" i="1"/>
  <c r="W257" i="1"/>
  <c r="V257" i="1"/>
  <c r="U257" i="1"/>
  <c r="T257" i="1"/>
  <c r="K257" i="1" s="1"/>
  <c r="Y256" i="1"/>
  <c r="X256" i="1"/>
  <c r="W256" i="1"/>
  <c r="V256" i="1"/>
  <c r="U256" i="1"/>
  <c r="T256" i="1"/>
  <c r="K256" i="1" s="1"/>
  <c r="Y56" i="1"/>
  <c r="X56" i="1"/>
  <c r="W56" i="1"/>
  <c r="V56" i="1"/>
  <c r="U56" i="1"/>
  <c r="T56" i="1"/>
  <c r="Y255" i="1"/>
  <c r="X255" i="1"/>
  <c r="W255" i="1"/>
  <c r="V255" i="1"/>
  <c r="U255" i="1"/>
  <c r="T255" i="1"/>
  <c r="K255" i="1" s="1"/>
  <c r="Y254" i="1"/>
  <c r="X254" i="1"/>
  <c r="W254" i="1"/>
  <c r="V254" i="1"/>
  <c r="U254" i="1"/>
  <c r="T254" i="1"/>
  <c r="K254" i="1" s="1"/>
  <c r="Y253" i="1"/>
  <c r="X253" i="1"/>
  <c r="W253" i="1"/>
  <c r="V253" i="1"/>
  <c r="U253" i="1"/>
  <c r="T253" i="1"/>
  <c r="K253" i="1" s="1"/>
  <c r="Y252" i="1"/>
  <c r="X252" i="1"/>
  <c r="W252" i="1"/>
  <c r="V252" i="1"/>
  <c r="U252" i="1"/>
  <c r="T252" i="1"/>
  <c r="K252" i="1" s="1"/>
  <c r="Y251" i="1"/>
  <c r="X251" i="1"/>
  <c r="W251" i="1"/>
  <c r="V251" i="1"/>
  <c r="U251" i="1"/>
  <c r="T251" i="1"/>
  <c r="K251" i="1" s="1"/>
  <c r="Y250" i="1"/>
  <c r="X250" i="1"/>
  <c r="W250" i="1"/>
  <c r="V250" i="1"/>
  <c r="U250" i="1"/>
  <c r="T250" i="1"/>
  <c r="K250" i="1" s="1"/>
  <c r="Y249" i="1"/>
  <c r="X249" i="1"/>
  <c r="W249" i="1"/>
  <c r="V249" i="1"/>
  <c r="U249" i="1"/>
  <c r="T249" i="1"/>
  <c r="K249" i="1" s="1"/>
  <c r="Y248" i="1"/>
  <c r="X248" i="1"/>
  <c r="W248" i="1"/>
  <c r="V248" i="1"/>
  <c r="U248" i="1"/>
  <c r="T248" i="1"/>
  <c r="K248" i="1" s="1"/>
  <c r="Y247" i="1"/>
  <c r="X247" i="1"/>
  <c r="W247" i="1"/>
  <c r="V247" i="1"/>
  <c r="U247" i="1"/>
  <c r="T247" i="1"/>
  <c r="K247" i="1" s="1"/>
  <c r="Y246" i="1"/>
  <c r="X246" i="1"/>
  <c r="W246" i="1"/>
  <c r="V246" i="1"/>
  <c r="U246" i="1"/>
  <c r="T246" i="1"/>
  <c r="K246" i="1" s="1"/>
  <c r="Y245" i="1"/>
  <c r="X245" i="1"/>
  <c r="W245" i="1"/>
  <c r="V245" i="1"/>
  <c r="U245" i="1"/>
  <c r="T245" i="1"/>
  <c r="K245" i="1" s="1"/>
  <c r="Y244" i="1"/>
  <c r="X244" i="1"/>
  <c r="W244" i="1"/>
  <c r="V244" i="1"/>
  <c r="U244" i="1"/>
  <c r="T244" i="1"/>
  <c r="Y35" i="1"/>
  <c r="X35" i="1"/>
  <c r="W35" i="1"/>
  <c r="V35" i="1"/>
  <c r="U35" i="1"/>
  <c r="T35" i="1"/>
  <c r="K35" i="1" s="1"/>
  <c r="Y55" i="1"/>
  <c r="X55" i="1"/>
  <c r="W55" i="1"/>
  <c r="V55" i="1"/>
  <c r="U55" i="1"/>
  <c r="T55" i="1"/>
  <c r="Y54" i="1"/>
  <c r="X54" i="1"/>
  <c r="W54" i="1"/>
  <c r="V54" i="1"/>
  <c r="U54" i="1"/>
  <c r="T54" i="1"/>
  <c r="K54" i="1" s="1"/>
  <c r="Y53" i="1"/>
  <c r="X53" i="1"/>
  <c r="W53" i="1"/>
  <c r="V53" i="1"/>
  <c r="U53" i="1"/>
  <c r="T53" i="1"/>
  <c r="Y34" i="1"/>
  <c r="X34" i="1"/>
  <c r="W34" i="1"/>
  <c r="V34" i="1"/>
  <c r="U34" i="1"/>
  <c r="T34" i="1"/>
  <c r="Y29" i="1"/>
  <c r="X29" i="1"/>
  <c r="W29" i="1"/>
  <c r="V29" i="1"/>
  <c r="U29" i="1"/>
  <c r="T29" i="1"/>
  <c r="K29" i="1" s="1"/>
  <c r="Y28" i="1"/>
  <c r="X28" i="1"/>
  <c r="W28" i="1"/>
  <c r="V28" i="1"/>
  <c r="U28" i="1"/>
  <c r="T28" i="1"/>
  <c r="K28" i="1" s="1"/>
  <c r="Y27" i="1"/>
  <c r="X27" i="1"/>
  <c r="W27" i="1"/>
  <c r="V27" i="1"/>
  <c r="U27" i="1"/>
  <c r="T27" i="1"/>
  <c r="K27" i="1" s="1"/>
  <c r="Y26" i="1"/>
  <c r="X26" i="1"/>
  <c r="W26" i="1"/>
  <c r="V26" i="1"/>
  <c r="U26" i="1"/>
  <c r="T26" i="1"/>
  <c r="K26" i="1" s="1"/>
  <c r="Y25" i="1"/>
  <c r="X25" i="1"/>
  <c r="W25" i="1"/>
  <c r="V25" i="1"/>
  <c r="U25" i="1"/>
  <c r="T25" i="1"/>
  <c r="K25" i="1" s="1"/>
  <c r="Y24" i="1"/>
  <c r="X24" i="1"/>
  <c r="W24" i="1"/>
  <c r="V24" i="1"/>
  <c r="U24" i="1"/>
  <c r="T24" i="1"/>
  <c r="K24" i="1" s="1"/>
  <c r="Y23" i="1"/>
  <c r="X23" i="1"/>
  <c r="W23" i="1"/>
  <c r="V23" i="1"/>
  <c r="U23" i="1"/>
  <c r="T23" i="1"/>
  <c r="K23" i="1" s="1"/>
  <c r="Y22" i="1"/>
  <c r="X22" i="1"/>
  <c r="W22" i="1"/>
  <c r="V22" i="1"/>
  <c r="U22" i="1"/>
  <c r="T22" i="1"/>
  <c r="K22" i="1" s="1"/>
  <c r="Y3" i="1"/>
  <c r="X3" i="1"/>
  <c r="W3" i="1"/>
  <c r="V3" i="1"/>
  <c r="U3" i="1"/>
  <c r="T3" i="1"/>
  <c r="K3" i="1" s="1"/>
  <c r="Y21" i="1"/>
  <c r="X21" i="1"/>
  <c r="W21" i="1"/>
  <c r="V21" i="1"/>
  <c r="U21" i="1"/>
  <c r="T21" i="1"/>
  <c r="K21" i="1" s="1"/>
  <c r="Y20" i="1"/>
  <c r="X20" i="1"/>
  <c r="W20" i="1"/>
  <c r="V20" i="1"/>
  <c r="U20" i="1"/>
  <c r="T20" i="1"/>
  <c r="K20" i="1" s="1"/>
  <c r="Y19" i="1"/>
  <c r="X19" i="1"/>
  <c r="W19" i="1"/>
  <c r="V19" i="1"/>
  <c r="U19" i="1"/>
  <c r="T19" i="1"/>
  <c r="K19" i="1" s="1"/>
  <c r="Y18" i="1"/>
  <c r="X18" i="1"/>
  <c r="W18" i="1"/>
  <c r="V18" i="1"/>
  <c r="U18" i="1"/>
  <c r="T18" i="1"/>
  <c r="K18" i="1" s="1"/>
  <c r="Y17" i="1"/>
  <c r="X17" i="1"/>
  <c r="W17" i="1"/>
  <c r="V17" i="1"/>
  <c r="U17" i="1"/>
  <c r="T17" i="1"/>
  <c r="K17" i="1" s="1"/>
  <c r="Y16" i="1"/>
  <c r="X16" i="1"/>
  <c r="W16" i="1"/>
  <c r="V16" i="1"/>
  <c r="U16" i="1"/>
  <c r="T16" i="1"/>
  <c r="K16" i="1" s="1"/>
  <c r="Y15" i="1"/>
  <c r="X15" i="1"/>
  <c r="W15" i="1"/>
  <c r="V15" i="1"/>
  <c r="U15" i="1"/>
  <c r="T15" i="1"/>
  <c r="K15" i="1" s="1"/>
  <c r="Y14" i="1"/>
  <c r="X14" i="1"/>
  <c r="W14" i="1"/>
  <c r="V14" i="1"/>
  <c r="U14" i="1"/>
  <c r="T14" i="1"/>
  <c r="K14" i="1" s="1"/>
  <c r="Y13" i="1"/>
  <c r="X13" i="1"/>
  <c r="W13" i="1"/>
  <c r="V13" i="1"/>
  <c r="U13" i="1"/>
  <c r="T13" i="1"/>
  <c r="K13" i="1" s="1"/>
  <c r="Y33" i="1"/>
  <c r="X33" i="1"/>
  <c r="W33" i="1"/>
  <c r="V33" i="1"/>
  <c r="U33" i="1"/>
  <c r="T33" i="1"/>
  <c r="K33" i="1" s="1"/>
  <c r="Y12" i="1"/>
  <c r="X12" i="1"/>
  <c r="W12" i="1"/>
  <c r="V12" i="1"/>
  <c r="U12" i="1"/>
  <c r="T12" i="1"/>
  <c r="Y32" i="1"/>
  <c r="X32" i="1"/>
  <c r="W32" i="1"/>
  <c r="V32" i="1"/>
  <c r="U32" i="1"/>
  <c r="T32" i="1"/>
  <c r="K32" i="1" s="1"/>
  <c r="Y31" i="1"/>
  <c r="X31" i="1"/>
  <c r="W31" i="1"/>
  <c r="V31" i="1"/>
  <c r="U31" i="1"/>
  <c r="T31" i="1"/>
  <c r="K31" i="1" s="1"/>
  <c r="Y30" i="1"/>
  <c r="X30" i="1"/>
  <c r="W30" i="1"/>
  <c r="V30" i="1"/>
  <c r="U30" i="1"/>
  <c r="T30" i="1"/>
  <c r="Y143" i="1"/>
  <c r="X143" i="1"/>
  <c r="W143" i="1"/>
  <c r="V143" i="1"/>
  <c r="U143" i="1"/>
  <c r="T143" i="1"/>
  <c r="K143" i="1" s="1"/>
  <c r="Y142" i="1"/>
  <c r="X142" i="1"/>
  <c r="W142" i="1"/>
  <c r="V142" i="1"/>
  <c r="U142" i="1"/>
  <c r="T142" i="1"/>
  <c r="Y202" i="1"/>
  <c r="X202" i="1"/>
  <c r="W202" i="1"/>
  <c r="V202" i="1"/>
  <c r="U202" i="1"/>
  <c r="T202" i="1"/>
  <c r="K202" i="1" s="1"/>
  <c r="Y201" i="1"/>
  <c r="X201" i="1"/>
  <c r="W201" i="1"/>
  <c r="V201" i="1"/>
  <c r="U201" i="1"/>
  <c r="T201" i="1"/>
  <c r="K201" i="1" s="1"/>
  <c r="Y200" i="1"/>
  <c r="X200" i="1"/>
  <c r="W200" i="1"/>
  <c r="V200" i="1"/>
  <c r="U200" i="1"/>
  <c r="T200" i="1"/>
  <c r="K200" i="1" s="1"/>
  <c r="Y199" i="1"/>
  <c r="X199" i="1"/>
  <c r="W199" i="1"/>
  <c r="V199" i="1"/>
  <c r="U199" i="1"/>
  <c r="T199" i="1"/>
  <c r="K199" i="1" s="1"/>
  <c r="Y187" i="1"/>
  <c r="X187" i="1"/>
  <c r="W187" i="1"/>
  <c r="V187" i="1"/>
  <c r="U187" i="1"/>
  <c r="T187" i="1"/>
  <c r="K187" i="1" s="1"/>
  <c r="Y198" i="1"/>
  <c r="X198" i="1"/>
  <c r="W198" i="1"/>
  <c r="V198" i="1"/>
  <c r="U198" i="1"/>
  <c r="T198" i="1"/>
  <c r="K198" i="1" s="1"/>
  <c r="Y186" i="1"/>
  <c r="X186" i="1"/>
  <c r="W186" i="1"/>
  <c r="V186" i="1"/>
  <c r="U186" i="1"/>
  <c r="T186" i="1"/>
  <c r="K186" i="1" s="1"/>
  <c r="Y185" i="1"/>
  <c r="X185" i="1"/>
  <c r="W185" i="1"/>
  <c r="V185" i="1"/>
  <c r="U185" i="1"/>
  <c r="T185" i="1"/>
  <c r="K185" i="1" s="1"/>
  <c r="Y184" i="1"/>
  <c r="X184" i="1"/>
  <c r="W184" i="1"/>
  <c r="V184" i="1"/>
  <c r="U184" i="1"/>
  <c r="T184" i="1"/>
  <c r="K184" i="1" s="1"/>
  <c r="Y183" i="1"/>
  <c r="X183" i="1"/>
  <c r="W183" i="1"/>
  <c r="V183" i="1"/>
  <c r="U183" i="1"/>
  <c r="T183" i="1"/>
  <c r="K183" i="1" s="1"/>
  <c r="Y197" i="1"/>
  <c r="X197" i="1"/>
  <c r="W197" i="1"/>
  <c r="V197" i="1"/>
  <c r="U197" i="1"/>
  <c r="T197" i="1"/>
  <c r="K197" i="1" s="1"/>
  <c r="Y196" i="1"/>
  <c r="X196" i="1"/>
  <c r="W196" i="1"/>
  <c r="V196" i="1"/>
  <c r="U196" i="1"/>
  <c r="T196" i="1"/>
  <c r="K196" i="1" s="1"/>
  <c r="Y195" i="1"/>
  <c r="X195" i="1"/>
  <c r="W195" i="1"/>
  <c r="V195" i="1"/>
  <c r="U195" i="1"/>
  <c r="T195" i="1"/>
  <c r="K195" i="1" s="1"/>
  <c r="Y194" i="1"/>
  <c r="X194" i="1"/>
  <c r="W194" i="1"/>
  <c r="V194" i="1"/>
  <c r="U194" i="1"/>
  <c r="T194" i="1"/>
  <c r="K194" i="1" s="1"/>
  <c r="Y193" i="1"/>
  <c r="X193" i="1"/>
  <c r="W193" i="1"/>
  <c r="V193" i="1"/>
  <c r="U193" i="1"/>
  <c r="T193" i="1"/>
  <c r="K193" i="1" s="1"/>
  <c r="Y192" i="1"/>
  <c r="X192" i="1"/>
  <c r="W192" i="1"/>
  <c r="V192" i="1"/>
  <c r="U192" i="1"/>
  <c r="T192" i="1"/>
  <c r="K192" i="1" s="1"/>
  <c r="Y182" i="1"/>
  <c r="X182" i="1"/>
  <c r="W182" i="1"/>
  <c r="V182" i="1"/>
  <c r="U182" i="1"/>
  <c r="T182" i="1"/>
  <c r="K182" i="1" s="1"/>
  <c r="Y191" i="1"/>
  <c r="X191" i="1"/>
  <c r="W191" i="1"/>
  <c r="V191" i="1"/>
  <c r="U191" i="1"/>
  <c r="T191" i="1"/>
  <c r="K191" i="1" s="1"/>
  <c r="Y190" i="1"/>
  <c r="X190" i="1"/>
  <c r="W190" i="1"/>
  <c r="V190" i="1"/>
  <c r="U190" i="1"/>
  <c r="T190" i="1"/>
  <c r="K190" i="1" s="1"/>
  <c r="Y189" i="1"/>
  <c r="X189" i="1"/>
  <c r="W189" i="1"/>
  <c r="V189" i="1"/>
  <c r="U189" i="1"/>
  <c r="T189" i="1"/>
  <c r="K189" i="1" s="1"/>
  <c r="Y181" i="1"/>
  <c r="X181" i="1"/>
  <c r="W181" i="1"/>
  <c r="V181" i="1"/>
  <c r="U181" i="1"/>
  <c r="T181" i="1"/>
  <c r="K181" i="1" s="1"/>
  <c r="Y155" i="1"/>
  <c r="X155" i="1"/>
  <c r="W155" i="1"/>
  <c r="V155" i="1"/>
  <c r="U155" i="1"/>
  <c r="T155" i="1"/>
  <c r="K155" i="1" s="1"/>
  <c r="Y154" i="1"/>
  <c r="X154" i="1"/>
  <c r="W154" i="1"/>
  <c r="V154" i="1"/>
  <c r="U154" i="1"/>
  <c r="T154" i="1"/>
  <c r="Y180" i="1"/>
  <c r="X180" i="1"/>
  <c r="W180" i="1"/>
  <c r="V180" i="1"/>
  <c r="U180" i="1"/>
  <c r="T180" i="1"/>
  <c r="K180" i="1" s="1"/>
  <c r="Y188" i="1"/>
  <c r="X188" i="1"/>
  <c r="W188" i="1"/>
  <c r="V188" i="1"/>
  <c r="U188" i="1"/>
  <c r="T188" i="1"/>
  <c r="Y179" i="1"/>
  <c r="X179" i="1"/>
  <c r="W179" i="1"/>
  <c r="V179" i="1"/>
  <c r="U179" i="1"/>
  <c r="T179" i="1"/>
  <c r="K179" i="1" s="1"/>
  <c r="Y178" i="1"/>
  <c r="X178" i="1"/>
  <c r="W178" i="1"/>
  <c r="V178" i="1"/>
  <c r="U178" i="1"/>
  <c r="T178" i="1"/>
  <c r="K178" i="1" s="1"/>
  <c r="Y177" i="1"/>
  <c r="X177" i="1"/>
  <c r="W177" i="1"/>
  <c r="V177" i="1"/>
  <c r="U177" i="1"/>
  <c r="T177" i="1"/>
  <c r="K177" i="1" s="1"/>
  <c r="Y176" i="1"/>
  <c r="X176" i="1"/>
  <c r="W176" i="1"/>
  <c r="V176" i="1"/>
  <c r="U176" i="1"/>
  <c r="T176" i="1"/>
  <c r="K176" i="1" s="1"/>
  <c r="Y175" i="1"/>
  <c r="X175" i="1"/>
  <c r="W175" i="1"/>
  <c r="V175" i="1"/>
  <c r="U175" i="1"/>
  <c r="T175" i="1"/>
  <c r="K175" i="1" s="1"/>
  <c r="Y174" i="1"/>
  <c r="X174" i="1"/>
  <c r="W174" i="1"/>
  <c r="V174" i="1"/>
  <c r="U174" i="1"/>
  <c r="T174" i="1"/>
  <c r="K174" i="1" s="1"/>
  <c r="Y173" i="1"/>
  <c r="X173" i="1"/>
  <c r="W173" i="1"/>
  <c r="V173" i="1"/>
  <c r="U173" i="1"/>
  <c r="T173" i="1"/>
  <c r="K173" i="1" s="1"/>
  <c r="Y172" i="1"/>
  <c r="X172" i="1"/>
  <c r="W172" i="1"/>
  <c r="V172" i="1"/>
  <c r="U172" i="1"/>
  <c r="T172" i="1"/>
  <c r="K172" i="1" s="1"/>
  <c r="Y171" i="1"/>
  <c r="X171" i="1"/>
  <c r="W171" i="1"/>
  <c r="V171" i="1"/>
  <c r="U171" i="1"/>
  <c r="T171" i="1"/>
  <c r="K171" i="1" s="1"/>
  <c r="Y11" i="1"/>
  <c r="X11" i="1"/>
  <c r="W11" i="1"/>
  <c r="V11" i="1"/>
  <c r="U11" i="1"/>
  <c r="T11" i="1"/>
  <c r="K11" i="1" s="1"/>
  <c r="Y2" i="1"/>
  <c r="X2" i="1"/>
  <c r="W2" i="1"/>
  <c r="V2" i="1"/>
  <c r="U2" i="1"/>
  <c r="T2" i="1"/>
  <c r="K2" i="1" s="1"/>
  <c r="Y170" i="1"/>
  <c r="X170" i="1"/>
  <c r="W170" i="1"/>
  <c r="V170" i="1"/>
  <c r="U170" i="1"/>
  <c r="T170" i="1"/>
  <c r="K170" i="1" s="1"/>
  <c r="Y169" i="1"/>
  <c r="X169" i="1"/>
  <c r="W169" i="1"/>
  <c r="V169" i="1"/>
  <c r="U169" i="1"/>
  <c r="T169" i="1"/>
  <c r="K169" i="1" s="1"/>
  <c r="Y10" i="1"/>
  <c r="X10" i="1"/>
  <c r="W10" i="1"/>
  <c r="V10" i="1"/>
  <c r="U10" i="1"/>
  <c r="T10" i="1"/>
  <c r="Z10" i="1" s="1"/>
  <c r="Y168" i="1"/>
  <c r="X168" i="1"/>
  <c r="W168" i="1"/>
  <c r="V168" i="1"/>
  <c r="U168" i="1"/>
  <c r="T168" i="1"/>
  <c r="Y9" i="1"/>
  <c r="X9" i="1"/>
  <c r="W9" i="1"/>
  <c r="V9" i="1"/>
  <c r="U9" i="1"/>
  <c r="T9" i="1"/>
  <c r="K9" i="1" s="1"/>
  <c r="Y8" i="1"/>
  <c r="X8" i="1"/>
  <c r="W8" i="1"/>
  <c r="V8" i="1"/>
  <c r="U8" i="1"/>
  <c r="T8" i="1"/>
  <c r="K8" i="1" s="1"/>
  <c r="Y7" i="1"/>
  <c r="X7" i="1"/>
  <c r="W7" i="1"/>
  <c r="V7" i="1"/>
  <c r="U7" i="1"/>
  <c r="T7" i="1"/>
  <c r="K7" i="1" s="1"/>
  <c r="Y6" i="1"/>
  <c r="X6" i="1"/>
  <c r="W6" i="1"/>
  <c r="V6" i="1"/>
  <c r="U6" i="1"/>
  <c r="T6" i="1"/>
  <c r="K6" i="1" s="1"/>
  <c r="Y76" i="1"/>
  <c r="X76" i="1"/>
  <c r="W76" i="1"/>
  <c r="V76" i="1"/>
  <c r="U76" i="1"/>
  <c r="T76" i="1"/>
  <c r="K76" i="1" s="1"/>
  <c r="Y5" i="1"/>
  <c r="X5" i="1"/>
  <c r="W5" i="1"/>
  <c r="V5" i="1"/>
  <c r="U5" i="1"/>
  <c r="T5" i="1"/>
  <c r="K5" i="1" s="1"/>
  <c r="Y75" i="1"/>
  <c r="X75" i="1"/>
  <c r="W75" i="1"/>
  <c r="V75" i="1"/>
  <c r="U75" i="1"/>
  <c r="T75" i="1"/>
  <c r="K75" i="1" s="1"/>
  <c r="Y74" i="1"/>
  <c r="X74" i="1"/>
  <c r="W74" i="1"/>
  <c r="V74" i="1"/>
  <c r="U74" i="1"/>
  <c r="T74" i="1"/>
  <c r="K74" i="1" s="1"/>
  <c r="Y4" i="1"/>
  <c r="X4" i="1"/>
  <c r="W4" i="1"/>
  <c r="V4" i="1"/>
  <c r="U4" i="1"/>
  <c r="T4" i="1"/>
  <c r="Y73" i="1"/>
  <c r="X73" i="1"/>
  <c r="W73" i="1"/>
  <c r="V73" i="1"/>
  <c r="U73" i="1"/>
  <c r="T73" i="1"/>
  <c r="K73" i="1" s="1"/>
  <c r="Y72" i="1"/>
  <c r="X72" i="1"/>
  <c r="W72" i="1"/>
  <c r="V72" i="1"/>
  <c r="U72" i="1"/>
  <c r="T72" i="1"/>
  <c r="K72" i="1" s="1"/>
  <c r="Y71" i="1"/>
  <c r="X71" i="1"/>
  <c r="W71" i="1"/>
  <c r="V71" i="1"/>
  <c r="U71" i="1"/>
  <c r="T71" i="1"/>
  <c r="K71" i="1" s="1"/>
  <c r="Y40" i="1"/>
  <c r="X40" i="1"/>
  <c r="W40" i="1"/>
  <c r="V40" i="1"/>
  <c r="U40" i="1"/>
  <c r="T40" i="1"/>
  <c r="K40" i="1" s="1"/>
  <c r="Y39" i="1"/>
  <c r="X39" i="1"/>
  <c r="W39" i="1"/>
  <c r="V39" i="1"/>
  <c r="U39" i="1"/>
  <c r="T39" i="1"/>
  <c r="K39" i="1" s="1"/>
  <c r="Y38" i="1"/>
  <c r="X38" i="1"/>
  <c r="W38" i="1"/>
  <c r="V38" i="1"/>
  <c r="U38" i="1"/>
  <c r="T38" i="1"/>
  <c r="K38" i="1" s="1"/>
  <c r="Y70" i="1"/>
  <c r="X70" i="1"/>
  <c r="W70" i="1"/>
  <c r="V70" i="1"/>
  <c r="U70" i="1"/>
  <c r="T70" i="1"/>
  <c r="K70" i="1" s="1"/>
  <c r="Y140" i="1"/>
  <c r="X140" i="1"/>
  <c r="W140" i="1"/>
  <c r="V140" i="1"/>
  <c r="U140" i="1"/>
  <c r="T140" i="1"/>
  <c r="K140" i="1" s="1"/>
  <c r="Y69" i="1"/>
  <c r="X69" i="1"/>
  <c r="W69" i="1"/>
  <c r="V69" i="1"/>
  <c r="U69" i="1"/>
  <c r="T69" i="1"/>
  <c r="K69" i="1" s="1"/>
  <c r="Y37" i="1"/>
  <c r="X37" i="1"/>
  <c r="W37" i="1"/>
  <c r="V37" i="1"/>
  <c r="U37" i="1"/>
  <c r="T37" i="1"/>
  <c r="K37" i="1" s="1"/>
  <c r="Y36" i="1"/>
  <c r="X36" i="1"/>
  <c r="W36" i="1"/>
  <c r="V36" i="1"/>
  <c r="U36" i="1"/>
  <c r="T36" i="1"/>
  <c r="Y139" i="1"/>
  <c r="X139" i="1"/>
  <c r="W139" i="1"/>
  <c r="V139" i="1"/>
  <c r="U139" i="1"/>
  <c r="T139" i="1"/>
  <c r="K139" i="1" s="1"/>
  <c r="Y68" i="1"/>
  <c r="X68" i="1"/>
  <c r="W68" i="1"/>
  <c r="V68" i="1"/>
  <c r="U68" i="1"/>
  <c r="T68" i="1"/>
  <c r="K68" i="1" s="1"/>
  <c r="Y67" i="1"/>
  <c r="X67" i="1"/>
  <c r="W67" i="1"/>
  <c r="V67" i="1"/>
  <c r="U67" i="1"/>
  <c r="T67" i="1"/>
  <c r="K67" i="1" s="1"/>
  <c r="Y66" i="1"/>
  <c r="X66" i="1"/>
  <c r="W66" i="1"/>
  <c r="V66" i="1"/>
  <c r="U66" i="1"/>
  <c r="T66" i="1"/>
  <c r="K66" i="1" s="1"/>
  <c r="Y65" i="1"/>
  <c r="X65" i="1"/>
  <c r="W65" i="1"/>
  <c r="V65" i="1"/>
  <c r="U65" i="1"/>
  <c r="T65" i="1"/>
  <c r="Y138" i="1"/>
  <c r="X138" i="1"/>
  <c r="W138" i="1"/>
  <c r="V138" i="1"/>
  <c r="U138" i="1"/>
  <c r="T138" i="1"/>
  <c r="K138" i="1" s="1"/>
  <c r="Y137" i="1"/>
  <c r="X137" i="1"/>
  <c r="W137" i="1"/>
  <c r="V137" i="1"/>
  <c r="U137" i="1"/>
  <c r="T137" i="1"/>
  <c r="K137" i="1" s="1"/>
  <c r="Y166" i="1"/>
  <c r="X166" i="1"/>
  <c r="W166" i="1"/>
  <c r="V166" i="1"/>
  <c r="U166" i="1"/>
  <c r="T166" i="1"/>
  <c r="K166" i="1" s="1"/>
  <c r="Y98" i="1"/>
  <c r="X98" i="1"/>
  <c r="W98" i="1"/>
  <c r="V98" i="1"/>
  <c r="U98" i="1"/>
  <c r="T98" i="1"/>
  <c r="K98" i="1" s="1"/>
  <c r="Y136" i="1"/>
  <c r="X136" i="1"/>
  <c r="W136" i="1"/>
  <c r="V136" i="1"/>
  <c r="U136" i="1"/>
  <c r="T136" i="1"/>
  <c r="K136" i="1" s="1"/>
  <c r="Y135" i="1"/>
  <c r="X135" i="1"/>
  <c r="W135" i="1"/>
  <c r="V135" i="1"/>
  <c r="U135" i="1"/>
  <c r="T135" i="1"/>
  <c r="K135" i="1" s="1"/>
  <c r="Y134" i="1"/>
  <c r="X134" i="1"/>
  <c r="W134" i="1"/>
  <c r="V134" i="1"/>
  <c r="U134" i="1"/>
  <c r="T134" i="1"/>
  <c r="K134" i="1" s="1"/>
  <c r="Y165" i="1"/>
  <c r="X165" i="1"/>
  <c r="W165" i="1"/>
  <c r="V165" i="1"/>
  <c r="U165" i="1"/>
  <c r="T165" i="1"/>
  <c r="K165" i="1" s="1"/>
  <c r="Y97" i="1"/>
  <c r="X97" i="1"/>
  <c r="W97" i="1"/>
  <c r="V97" i="1"/>
  <c r="U97" i="1"/>
  <c r="T97" i="1"/>
  <c r="K97" i="1" s="1"/>
  <c r="Y133" i="1"/>
  <c r="X133" i="1"/>
  <c r="W133" i="1"/>
  <c r="V133" i="1"/>
  <c r="U133" i="1"/>
  <c r="T133" i="1"/>
  <c r="K133" i="1" s="1"/>
  <c r="Y96" i="1"/>
  <c r="X96" i="1"/>
  <c r="W96" i="1"/>
  <c r="V96" i="1"/>
  <c r="U96" i="1"/>
  <c r="T96" i="1"/>
  <c r="K96" i="1" s="1"/>
  <c r="Y95" i="1"/>
  <c r="X95" i="1"/>
  <c r="W95" i="1"/>
  <c r="V95" i="1"/>
  <c r="U95" i="1"/>
  <c r="T95" i="1"/>
  <c r="K95" i="1" s="1"/>
  <c r="Y94" i="1"/>
  <c r="X94" i="1"/>
  <c r="W94" i="1"/>
  <c r="V94" i="1"/>
  <c r="U94" i="1"/>
  <c r="T94" i="1"/>
  <c r="K94" i="1" s="1"/>
  <c r="Y164" i="1"/>
  <c r="X164" i="1"/>
  <c r="W164" i="1"/>
  <c r="V164" i="1"/>
  <c r="U164" i="1"/>
  <c r="T164" i="1"/>
  <c r="K164" i="1" s="1"/>
  <c r="Y132" i="1"/>
  <c r="X132" i="1"/>
  <c r="W132" i="1"/>
  <c r="V132" i="1"/>
  <c r="U132" i="1"/>
  <c r="T132" i="1"/>
  <c r="K132" i="1" s="1"/>
  <c r="Y131" i="1"/>
  <c r="X131" i="1"/>
  <c r="W131" i="1"/>
  <c r="V131" i="1"/>
  <c r="U131" i="1"/>
  <c r="T131" i="1"/>
  <c r="K131" i="1" s="1"/>
  <c r="Y130" i="1"/>
  <c r="X130" i="1"/>
  <c r="W130" i="1"/>
  <c r="V130" i="1"/>
  <c r="U130" i="1"/>
  <c r="T130" i="1"/>
  <c r="K130" i="1" s="1"/>
  <c r="Y129" i="1"/>
  <c r="X129" i="1"/>
  <c r="W129" i="1"/>
  <c r="V129" i="1"/>
  <c r="U129" i="1"/>
  <c r="T129" i="1"/>
  <c r="K129" i="1" s="1"/>
  <c r="Y128" i="1"/>
  <c r="X128" i="1"/>
  <c r="W128" i="1"/>
  <c r="V128" i="1"/>
  <c r="U128" i="1"/>
  <c r="T128" i="1"/>
  <c r="K128" i="1" s="1"/>
  <c r="Y163" i="1"/>
  <c r="X163" i="1"/>
  <c r="W163" i="1"/>
  <c r="V163" i="1"/>
  <c r="U163" i="1"/>
  <c r="T163" i="1"/>
  <c r="K163" i="1" s="1"/>
  <c r="Y162" i="1"/>
  <c r="X162" i="1"/>
  <c r="W162" i="1"/>
  <c r="V162" i="1"/>
  <c r="U162" i="1"/>
  <c r="T162" i="1"/>
  <c r="K162" i="1" s="1"/>
  <c r="Y127" i="1"/>
  <c r="X127" i="1"/>
  <c r="W127" i="1"/>
  <c r="V127" i="1"/>
  <c r="U127" i="1"/>
  <c r="T127" i="1"/>
  <c r="Y93" i="1"/>
  <c r="X93" i="1"/>
  <c r="W93" i="1"/>
  <c r="V93" i="1"/>
  <c r="U93" i="1"/>
  <c r="T93" i="1"/>
  <c r="K93" i="1" s="1"/>
  <c r="Y92" i="1"/>
  <c r="X92" i="1"/>
  <c r="W92" i="1"/>
  <c r="V92" i="1"/>
  <c r="U92" i="1"/>
  <c r="T92" i="1"/>
  <c r="K92" i="1" s="1"/>
  <c r="Y236" i="1"/>
  <c r="X236" i="1"/>
  <c r="W236" i="1"/>
  <c r="V236" i="1"/>
  <c r="U236" i="1"/>
  <c r="T236" i="1"/>
  <c r="K236" i="1" s="1"/>
  <c r="Y62" i="1"/>
  <c r="X62" i="1"/>
  <c r="W62" i="1"/>
  <c r="V62" i="1"/>
  <c r="U62" i="1"/>
  <c r="T62" i="1"/>
  <c r="K62" i="1" s="1"/>
  <c r="Y235" i="1"/>
  <c r="X235" i="1"/>
  <c r="W235" i="1"/>
  <c r="V235" i="1"/>
  <c r="U235" i="1"/>
  <c r="T235" i="1"/>
  <c r="K235" i="1" s="1"/>
  <c r="Y269" i="1"/>
  <c r="X269" i="1"/>
  <c r="W269" i="1"/>
  <c r="V269" i="1"/>
  <c r="U269" i="1"/>
  <c r="T269" i="1"/>
  <c r="K269" i="1" s="1"/>
  <c r="Y234" i="1"/>
  <c r="X234" i="1"/>
  <c r="W234" i="1"/>
  <c r="V234" i="1"/>
  <c r="U234" i="1"/>
  <c r="T234" i="1"/>
  <c r="K234" i="1" s="1"/>
  <c r="Y233" i="1"/>
  <c r="X233" i="1"/>
  <c r="W233" i="1"/>
  <c r="V233" i="1"/>
  <c r="U233" i="1"/>
  <c r="T233" i="1"/>
  <c r="K233" i="1" s="1"/>
  <c r="Y232" i="1"/>
  <c r="X232" i="1"/>
  <c r="W232" i="1"/>
  <c r="V232" i="1"/>
  <c r="U232" i="1"/>
  <c r="T232" i="1"/>
  <c r="K232" i="1" s="1"/>
  <c r="Y231" i="1"/>
  <c r="X231" i="1"/>
  <c r="W231" i="1"/>
  <c r="V231" i="1"/>
  <c r="U231" i="1"/>
  <c r="T231" i="1"/>
  <c r="K231" i="1" s="1"/>
  <c r="Y230" i="1"/>
  <c r="X230" i="1"/>
  <c r="W230" i="1"/>
  <c r="V230" i="1"/>
  <c r="U230" i="1"/>
  <c r="T230" i="1"/>
  <c r="K230" i="1" s="1"/>
  <c r="Y229" i="1"/>
  <c r="X229" i="1"/>
  <c r="W229" i="1"/>
  <c r="V229" i="1"/>
  <c r="U229" i="1"/>
  <c r="T229" i="1"/>
  <c r="K229" i="1" s="1"/>
  <c r="Y91" i="1"/>
  <c r="X91" i="1"/>
  <c r="W91" i="1"/>
  <c r="V91" i="1"/>
  <c r="U91" i="1"/>
  <c r="T91" i="1"/>
  <c r="K91" i="1" s="1"/>
  <c r="Y228" i="1"/>
  <c r="X228" i="1"/>
  <c r="W228" i="1"/>
  <c r="V228" i="1"/>
  <c r="U228" i="1"/>
  <c r="T228" i="1"/>
  <c r="K228" i="1" s="1"/>
  <c r="Y227" i="1"/>
  <c r="X227" i="1"/>
  <c r="W227" i="1"/>
  <c r="V227" i="1"/>
  <c r="U227" i="1"/>
  <c r="T227" i="1"/>
  <c r="K227" i="1" s="1"/>
  <c r="Y226" i="1"/>
  <c r="X226" i="1"/>
  <c r="W226" i="1"/>
  <c r="V226" i="1"/>
  <c r="U226" i="1"/>
  <c r="T226" i="1"/>
  <c r="Y268" i="1"/>
  <c r="X268" i="1"/>
  <c r="W268" i="1"/>
  <c r="V268" i="1"/>
  <c r="U268" i="1"/>
  <c r="T268" i="1"/>
  <c r="K268" i="1" s="1"/>
  <c r="Y90" i="1"/>
  <c r="X90" i="1"/>
  <c r="W90" i="1"/>
  <c r="V90" i="1"/>
  <c r="U90" i="1"/>
  <c r="T90" i="1"/>
  <c r="K90" i="1" s="1"/>
  <c r="Y89" i="1"/>
  <c r="X89" i="1"/>
  <c r="W89" i="1"/>
  <c r="V89" i="1"/>
  <c r="U89" i="1"/>
  <c r="T89" i="1"/>
  <c r="K89" i="1" s="1"/>
  <c r="Y88" i="1"/>
  <c r="X88" i="1"/>
  <c r="W88" i="1"/>
  <c r="V88" i="1"/>
  <c r="U88" i="1"/>
  <c r="T88" i="1"/>
  <c r="K88" i="1" s="1"/>
  <c r="Y87" i="1"/>
  <c r="X87" i="1"/>
  <c r="W87" i="1"/>
  <c r="V87" i="1"/>
  <c r="U87" i="1"/>
  <c r="T87" i="1"/>
  <c r="K87" i="1" s="1"/>
  <c r="Y267" i="1"/>
  <c r="X267" i="1"/>
  <c r="W267" i="1"/>
  <c r="V267" i="1"/>
  <c r="U267" i="1"/>
  <c r="T267" i="1"/>
  <c r="K267" i="1" s="1"/>
  <c r="Y86" i="1"/>
  <c r="X86" i="1"/>
  <c r="W86" i="1"/>
  <c r="V86" i="1"/>
  <c r="U86" i="1"/>
  <c r="T86" i="1"/>
  <c r="K86" i="1" s="1"/>
  <c r="Y266" i="1"/>
  <c r="X266" i="1"/>
  <c r="W266" i="1"/>
  <c r="V266" i="1"/>
  <c r="U266" i="1"/>
  <c r="T266" i="1"/>
  <c r="K266" i="1" s="1"/>
  <c r="Y265" i="1"/>
  <c r="X265" i="1"/>
  <c r="W265" i="1"/>
  <c r="V265" i="1"/>
  <c r="U265" i="1"/>
  <c r="T265" i="1"/>
  <c r="K265" i="1" s="1"/>
  <c r="Y85" i="1"/>
  <c r="X85" i="1"/>
  <c r="W85" i="1"/>
  <c r="V85" i="1"/>
  <c r="U85" i="1"/>
  <c r="T85" i="1"/>
  <c r="K85" i="1" s="1"/>
  <c r="Y84" i="1"/>
  <c r="X84" i="1"/>
  <c r="W84" i="1"/>
  <c r="V84" i="1"/>
  <c r="U84" i="1"/>
  <c r="T84" i="1"/>
  <c r="K84" i="1" s="1"/>
  <c r="Y264" i="1"/>
  <c r="X264" i="1"/>
  <c r="W264" i="1"/>
  <c r="V264" i="1"/>
  <c r="U264" i="1"/>
  <c r="T264" i="1"/>
  <c r="K264" i="1" s="1"/>
  <c r="Y83" i="1"/>
  <c r="X83" i="1"/>
  <c r="W83" i="1"/>
  <c r="V83" i="1"/>
  <c r="U83" i="1"/>
  <c r="T83" i="1"/>
  <c r="K83" i="1" s="1"/>
  <c r="Y82" i="1"/>
  <c r="X82" i="1"/>
  <c r="W82" i="1"/>
  <c r="V82" i="1"/>
  <c r="U82" i="1"/>
  <c r="T82" i="1"/>
  <c r="K82" i="1" s="1"/>
  <c r="Y81" i="1"/>
  <c r="X81" i="1"/>
  <c r="W81" i="1"/>
  <c r="V81" i="1"/>
  <c r="U81" i="1"/>
  <c r="T81" i="1"/>
  <c r="K81" i="1" s="1"/>
  <c r="Y80" i="1"/>
  <c r="X80" i="1"/>
  <c r="W80" i="1"/>
  <c r="V80" i="1"/>
  <c r="U80" i="1"/>
  <c r="T80" i="1"/>
  <c r="K80" i="1" s="1"/>
  <c r="Y263" i="1"/>
  <c r="X263" i="1"/>
  <c r="W263" i="1"/>
  <c r="V263" i="1"/>
  <c r="U263" i="1"/>
  <c r="T263" i="1"/>
  <c r="K263" i="1" s="1"/>
  <c r="Y79" i="1"/>
  <c r="X79" i="1"/>
  <c r="W79" i="1"/>
  <c r="V79" i="1"/>
  <c r="U79" i="1"/>
  <c r="T79" i="1"/>
  <c r="K79" i="1" s="1"/>
  <c r="Y262" i="1"/>
  <c r="X262" i="1"/>
  <c r="W262" i="1"/>
  <c r="V262" i="1"/>
  <c r="U262" i="1"/>
  <c r="T262" i="1"/>
  <c r="K262" i="1" s="1"/>
  <c r="Y261" i="1"/>
  <c r="X261" i="1"/>
  <c r="W261" i="1"/>
  <c r="V261" i="1"/>
  <c r="U261" i="1"/>
  <c r="T261" i="1"/>
  <c r="K261" i="1" s="1"/>
  <c r="Y282" i="1"/>
  <c r="X282" i="1"/>
  <c r="W282" i="1"/>
  <c r="V282" i="1"/>
  <c r="U282" i="1"/>
  <c r="T282" i="1"/>
  <c r="K282" i="1" s="1"/>
  <c r="Y281" i="1"/>
  <c r="X281" i="1"/>
  <c r="W281" i="1"/>
  <c r="V281" i="1"/>
  <c r="U281" i="1"/>
  <c r="T281" i="1"/>
  <c r="K281" i="1" s="1"/>
  <c r="Y111" i="1"/>
  <c r="X111" i="1"/>
  <c r="W111" i="1"/>
  <c r="V111" i="1"/>
  <c r="U111" i="1"/>
  <c r="T111" i="1"/>
  <c r="K111" i="1" s="1"/>
  <c r="Y280" i="1"/>
  <c r="X280" i="1"/>
  <c r="W280" i="1"/>
  <c r="V280" i="1"/>
  <c r="U280" i="1"/>
  <c r="T280" i="1"/>
  <c r="K280" i="1" s="1"/>
  <c r="Y279" i="1"/>
  <c r="X279" i="1"/>
  <c r="W279" i="1"/>
  <c r="V279" i="1"/>
  <c r="U279" i="1"/>
  <c r="T279" i="1"/>
  <c r="K279" i="1" s="1"/>
  <c r="Y278" i="1"/>
  <c r="X278" i="1"/>
  <c r="W278" i="1"/>
  <c r="V278" i="1"/>
  <c r="U278" i="1"/>
  <c r="T278" i="1"/>
  <c r="K278" i="1" s="1"/>
  <c r="Y277" i="1"/>
  <c r="X277" i="1"/>
  <c r="W277" i="1"/>
  <c r="V277" i="1"/>
  <c r="U277" i="1"/>
  <c r="T277" i="1"/>
  <c r="K277" i="1" s="1"/>
  <c r="Y276" i="1"/>
  <c r="X276" i="1"/>
  <c r="W276" i="1"/>
  <c r="V276" i="1"/>
  <c r="U276" i="1"/>
  <c r="T276" i="1"/>
  <c r="K276" i="1" s="1"/>
  <c r="Y275" i="1"/>
  <c r="X275" i="1"/>
  <c r="W275" i="1"/>
  <c r="V275" i="1"/>
  <c r="U275" i="1"/>
  <c r="T275" i="1"/>
  <c r="K275" i="1" s="1"/>
  <c r="Y77" i="1"/>
  <c r="X77" i="1"/>
  <c r="W77" i="1"/>
  <c r="V77" i="1"/>
  <c r="U77" i="1"/>
  <c r="T77" i="1"/>
  <c r="K77" i="1" s="1"/>
  <c r="Y274" i="1"/>
  <c r="X274" i="1"/>
  <c r="W274" i="1"/>
  <c r="V274" i="1"/>
  <c r="U274" i="1"/>
  <c r="T274" i="1"/>
  <c r="K274" i="1" s="1"/>
  <c r="Y273" i="1"/>
  <c r="X273" i="1"/>
  <c r="W273" i="1"/>
  <c r="V273" i="1"/>
  <c r="U273" i="1"/>
  <c r="T273" i="1"/>
  <c r="K273" i="1" s="1"/>
  <c r="Y272" i="1"/>
  <c r="X272" i="1"/>
  <c r="W272" i="1"/>
  <c r="V272" i="1"/>
  <c r="U272" i="1"/>
  <c r="T272" i="1"/>
  <c r="K272" i="1" s="1"/>
  <c r="Y260" i="1"/>
  <c r="X260" i="1"/>
  <c r="W260" i="1"/>
  <c r="V260" i="1"/>
  <c r="U260" i="1"/>
  <c r="T260" i="1"/>
  <c r="Y78" i="1"/>
  <c r="X78" i="1"/>
  <c r="W78" i="1"/>
  <c r="V78" i="1"/>
  <c r="U78" i="1"/>
  <c r="T78" i="1"/>
  <c r="Y271" i="1"/>
  <c r="X271" i="1"/>
  <c r="W271" i="1"/>
  <c r="V271" i="1"/>
  <c r="U271" i="1"/>
  <c r="T271" i="1"/>
  <c r="K271" i="1" s="1"/>
  <c r="Y270" i="1"/>
  <c r="X270" i="1"/>
  <c r="W270" i="1"/>
  <c r="V270" i="1"/>
  <c r="U270" i="1"/>
  <c r="T270" i="1"/>
  <c r="Y44" i="1"/>
  <c r="X44" i="1"/>
  <c r="W44" i="1"/>
  <c r="V44" i="1"/>
  <c r="U44" i="1"/>
  <c r="T44" i="1"/>
  <c r="K44" i="1" s="1"/>
  <c r="Y43" i="1"/>
  <c r="X43" i="1"/>
  <c r="W43" i="1"/>
  <c r="V43" i="1"/>
  <c r="U43" i="1"/>
  <c r="T43" i="1"/>
  <c r="K43" i="1" s="1"/>
  <c r="Y42" i="1"/>
  <c r="X42" i="1"/>
  <c r="W42" i="1"/>
  <c r="V42" i="1"/>
  <c r="U42" i="1"/>
  <c r="T42" i="1"/>
  <c r="K42" i="1" s="1"/>
  <c r="Y41" i="1"/>
  <c r="X41" i="1"/>
  <c r="W41" i="1"/>
  <c r="V41" i="1"/>
  <c r="U41" i="1"/>
  <c r="T41" i="1"/>
  <c r="Y213" i="1"/>
  <c r="X213" i="1"/>
  <c r="W213" i="1"/>
  <c r="V213" i="1"/>
  <c r="U213" i="1"/>
  <c r="T213" i="1"/>
  <c r="K213" i="1" s="1"/>
  <c r="Y212" i="1"/>
  <c r="X212" i="1"/>
  <c r="W212" i="1"/>
  <c r="V212" i="1"/>
  <c r="U212" i="1"/>
  <c r="T212" i="1"/>
  <c r="K212" i="1" s="1"/>
  <c r="Y110" i="1"/>
  <c r="X110" i="1"/>
  <c r="W110" i="1"/>
  <c r="V110" i="1"/>
  <c r="U110" i="1"/>
  <c r="T110" i="1"/>
  <c r="K110" i="1" s="1"/>
  <c r="Y211" i="1"/>
  <c r="X211" i="1"/>
  <c r="W211" i="1"/>
  <c r="V211" i="1"/>
  <c r="U211" i="1"/>
  <c r="T211" i="1"/>
  <c r="K211" i="1" s="1"/>
  <c r="Y210" i="1"/>
  <c r="X210" i="1"/>
  <c r="W210" i="1"/>
  <c r="V210" i="1"/>
  <c r="U210" i="1"/>
  <c r="T210" i="1"/>
  <c r="K210" i="1" s="1"/>
  <c r="Y109" i="1"/>
  <c r="X109" i="1"/>
  <c r="W109" i="1"/>
  <c r="V109" i="1"/>
  <c r="U109" i="1"/>
  <c r="T109" i="1"/>
  <c r="K109" i="1" s="1"/>
  <c r="Y209" i="1"/>
  <c r="X209" i="1"/>
  <c r="W209" i="1"/>
  <c r="V209" i="1"/>
  <c r="U209" i="1"/>
  <c r="T209" i="1"/>
  <c r="K209" i="1" s="1"/>
  <c r="Y208" i="1"/>
  <c r="X208" i="1"/>
  <c r="W208" i="1"/>
  <c r="V208" i="1"/>
  <c r="U208" i="1"/>
  <c r="T208" i="1"/>
  <c r="K208" i="1" s="1"/>
  <c r="Y207" i="1"/>
  <c r="X207" i="1"/>
  <c r="W207" i="1"/>
  <c r="V207" i="1"/>
  <c r="U207" i="1"/>
  <c r="T207" i="1"/>
  <c r="K207" i="1" s="1"/>
  <c r="Y108" i="1"/>
  <c r="X108" i="1"/>
  <c r="W108" i="1"/>
  <c r="V108" i="1"/>
  <c r="U108" i="1"/>
  <c r="T108" i="1"/>
  <c r="K108" i="1" s="1"/>
  <c r="Y206" i="1"/>
  <c r="X206" i="1"/>
  <c r="W206" i="1"/>
  <c r="V206" i="1"/>
  <c r="U206" i="1"/>
  <c r="T206" i="1"/>
  <c r="K206" i="1" s="1"/>
  <c r="Y205" i="1"/>
  <c r="X205" i="1"/>
  <c r="W205" i="1"/>
  <c r="V205" i="1"/>
  <c r="U205" i="1"/>
  <c r="T205" i="1"/>
  <c r="K205" i="1" s="1"/>
  <c r="Y204" i="1"/>
  <c r="X204" i="1"/>
  <c r="W204" i="1"/>
  <c r="V204" i="1"/>
  <c r="U204" i="1"/>
  <c r="T204" i="1"/>
  <c r="K204" i="1" s="1"/>
  <c r="Y107" i="1"/>
  <c r="X107" i="1"/>
  <c r="W107" i="1"/>
  <c r="V107" i="1"/>
  <c r="U107" i="1"/>
  <c r="T107" i="1"/>
  <c r="K107" i="1" s="1"/>
  <c r="Y203" i="1"/>
  <c r="X203" i="1"/>
  <c r="W203" i="1"/>
  <c r="V203" i="1"/>
  <c r="U203" i="1"/>
  <c r="T203" i="1"/>
  <c r="Y293" i="1"/>
  <c r="X293" i="1"/>
  <c r="W293" i="1"/>
  <c r="V293" i="1"/>
  <c r="U293" i="1"/>
  <c r="T293" i="1"/>
  <c r="K293" i="1" s="1"/>
  <c r="Y292" i="1"/>
  <c r="X292" i="1"/>
  <c r="W292" i="1"/>
  <c r="V292" i="1"/>
  <c r="U292" i="1"/>
  <c r="T292" i="1"/>
  <c r="K292" i="1" s="1"/>
  <c r="Y291" i="1"/>
  <c r="X291" i="1"/>
  <c r="W291" i="1"/>
  <c r="V291" i="1"/>
  <c r="U291" i="1"/>
  <c r="T291" i="1"/>
  <c r="K291" i="1" s="1"/>
  <c r="Y290" i="1"/>
  <c r="X290" i="1"/>
  <c r="W290" i="1"/>
  <c r="V290" i="1"/>
  <c r="U290" i="1"/>
  <c r="T290" i="1"/>
  <c r="K290" i="1" s="1"/>
  <c r="Y289" i="1"/>
  <c r="X289" i="1"/>
  <c r="W289" i="1"/>
  <c r="V289" i="1"/>
  <c r="U289" i="1"/>
  <c r="T289" i="1"/>
  <c r="K289" i="1" s="1"/>
  <c r="Y288" i="1"/>
  <c r="X288" i="1"/>
  <c r="W288" i="1"/>
  <c r="V288" i="1"/>
  <c r="U288" i="1"/>
  <c r="T288" i="1"/>
  <c r="K288" i="1" s="1"/>
  <c r="Y287" i="1"/>
  <c r="X287" i="1"/>
  <c r="W287" i="1"/>
  <c r="V287" i="1"/>
  <c r="U287" i="1"/>
  <c r="T287" i="1"/>
  <c r="K287" i="1" s="1"/>
  <c r="Y286" i="1"/>
  <c r="X286" i="1"/>
  <c r="W286" i="1"/>
  <c r="V286" i="1"/>
  <c r="U286" i="1"/>
  <c r="T286" i="1"/>
  <c r="K286" i="1" s="1"/>
  <c r="Y285" i="1"/>
  <c r="X285" i="1"/>
  <c r="W285" i="1"/>
  <c r="V285" i="1"/>
  <c r="U285" i="1"/>
  <c r="T285" i="1"/>
  <c r="K285" i="1" s="1"/>
  <c r="Y284" i="1"/>
  <c r="X284" i="1"/>
  <c r="W284" i="1"/>
  <c r="V284" i="1"/>
  <c r="U284" i="1"/>
  <c r="T284" i="1"/>
  <c r="K284" i="1" s="1"/>
  <c r="Y64" i="1"/>
  <c r="X64" i="1"/>
  <c r="W64" i="1"/>
  <c r="V64" i="1"/>
  <c r="U64" i="1"/>
  <c r="T64" i="1"/>
  <c r="K64" i="1" s="1"/>
  <c r="Y283" i="1"/>
  <c r="X283" i="1"/>
  <c r="W283" i="1"/>
  <c r="V283" i="1"/>
  <c r="U283" i="1"/>
  <c r="T283" i="1"/>
  <c r="Y106" i="1"/>
  <c r="X106" i="1"/>
  <c r="W106" i="1"/>
  <c r="V106" i="1"/>
  <c r="U106" i="1"/>
  <c r="T106" i="1"/>
  <c r="K106" i="1" s="1"/>
  <c r="Y105" i="1"/>
  <c r="X105" i="1"/>
  <c r="W105" i="1"/>
  <c r="V105" i="1"/>
  <c r="U105" i="1"/>
  <c r="T105" i="1"/>
  <c r="K105" i="1" s="1"/>
  <c r="Y104" i="1"/>
  <c r="X104" i="1"/>
  <c r="W104" i="1"/>
  <c r="V104" i="1"/>
  <c r="U104" i="1"/>
  <c r="T104" i="1"/>
  <c r="K104" i="1" s="1"/>
  <c r="Y103" i="1"/>
  <c r="X103" i="1"/>
  <c r="W103" i="1"/>
  <c r="V103" i="1"/>
  <c r="U103" i="1"/>
  <c r="T103" i="1"/>
  <c r="K103" i="1" s="1"/>
  <c r="Y225" i="1"/>
  <c r="X225" i="1"/>
  <c r="W225" i="1"/>
  <c r="V225" i="1"/>
  <c r="U225" i="1"/>
  <c r="T225" i="1"/>
  <c r="K225" i="1" s="1"/>
  <c r="Y102" i="1"/>
  <c r="X102" i="1"/>
  <c r="W102" i="1"/>
  <c r="V102" i="1"/>
  <c r="U102" i="1"/>
  <c r="T102" i="1"/>
  <c r="K102" i="1" s="1"/>
  <c r="Y161" i="1"/>
  <c r="X161" i="1"/>
  <c r="W161" i="1"/>
  <c r="V161" i="1"/>
  <c r="U161" i="1"/>
  <c r="T161" i="1"/>
  <c r="K161" i="1" s="1"/>
  <c r="Y160" i="1"/>
  <c r="X160" i="1"/>
  <c r="W160" i="1"/>
  <c r="V160" i="1"/>
  <c r="U160" i="1"/>
  <c r="T160" i="1"/>
  <c r="K160" i="1" s="1"/>
  <c r="Y159" i="1"/>
  <c r="X159" i="1"/>
  <c r="W159" i="1"/>
  <c r="V159" i="1"/>
  <c r="U159" i="1"/>
  <c r="T159" i="1"/>
  <c r="K159" i="1" s="1"/>
  <c r="Y101" i="1"/>
  <c r="X101" i="1"/>
  <c r="W101" i="1"/>
  <c r="V101" i="1"/>
  <c r="U101" i="1"/>
  <c r="T101" i="1"/>
  <c r="K101" i="1" s="1"/>
  <c r="Y100" i="1"/>
  <c r="X100" i="1"/>
  <c r="W100" i="1"/>
  <c r="V100" i="1"/>
  <c r="U100" i="1"/>
  <c r="T100" i="1"/>
  <c r="K100" i="1" s="1"/>
  <c r="Y99" i="1"/>
  <c r="X99" i="1"/>
  <c r="W99" i="1"/>
  <c r="V99" i="1"/>
  <c r="U99" i="1"/>
  <c r="T99" i="1"/>
  <c r="Y224" i="1"/>
  <c r="X224" i="1"/>
  <c r="W224" i="1"/>
  <c r="V224" i="1"/>
  <c r="U224" i="1"/>
  <c r="T224" i="1"/>
  <c r="K224" i="1" s="1"/>
  <c r="Y223" i="1"/>
  <c r="X223" i="1"/>
  <c r="W223" i="1"/>
  <c r="V223" i="1"/>
  <c r="U223" i="1"/>
  <c r="T223" i="1"/>
  <c r="K223" i="1" s="1"/>
  <c r="Y222" i="1"/>
  <c r="X222" i="1"/>
  <c r="W222" i="1"/>
  <c r="V222" i="1"/>
  <c r="U222" i="1"/>
  <c r="T222" i="1"/>
  <c r="K222" i="1" s="1"/>
  <c r="Y126" i="1"/>
  <c r="X126" i="1"/>
  <c r="W126" i="1"/>
  <c r="V126" i="1"/>
  <c r="U126" i="1"/>
  <c r="T126" i="1"/>
  <c r="K126" i="1" s="1"/>
  <c r="Y221" i="1"/>
  <c r="X221" i="1"/>
  <c r="W221" i="1"/>
  <c r="V221" i="1"/>
  <c r="U221" i="1"/>
  <c r="T221" i="1"/>
  <c r="K221" i="1" s="1"/>
  <c r="Y220" i="1"/>
  <c r="X220" i="1"/>
  <c r="W220" i="1"/>
  <c r="V220" i="1"/>
  <c r="U220" i="1"/>
  <c r="T220" i="1"/>
  <c r="K220" i="1" s="1"/>
  <c r="Y158" i="1"/>
  <c r="X158" i="1"/>
  <c r="W158" i="1"/>
  <c r="V158" i="1"/>
  <c r="U158" i="1"/>
  <c r="T158" i="1"/>
  <c r="K158" i="1" s="1"/>
  <c r="Y219" i="1"/>
  <c r="X219" i="1"/>
  <c r="W219" i="1"/>
  <c r="V219" i="1"/>
  <c r="U219" i="1"/>
  <c r="T219" i="1"/>
  <c r="K219" i="1" s="1"/>
  <c r="Y218" i="1"/>
  <c r="X218" i="1"/>
  <c r="W218" i="1"/>
  <c r="V218" i="1"/>
  <c r="U218" i="1"/>
  <c r="T218" i="1"/>
  <c r="K218" i="1" s="1"/>
  <c r="Y217" i="1"/>
  <c r="X217" i="1"/>
  <c r="W217" i="1"/>
  <c r="V217" i="1"/>
  <c r="U217" i="1"/>
  <c r="T217" i="1"/>
  <c r="K217" i="1" s="1"/>
  <c r="Y216" i="1"/>
  <c r="X216" i="1"/>
  <c r="W216" i="1"/>
  <c r="V216" i="1"/>
  <c r="U216" i="1"/>
  <c r="T216" i="1"/>
  <c r="K216" i="1" s="1"/>
  <c r="Y125" i="1"/>
  <c r="X125" i="1"/>
  <c r="W125" i="1"/>
  <c r="V125" i="1"/>
  <c r="U125" i="1"/>
  <c r="T125" i="1"/>
  <c r="K125" i="1" s="1"/>
  <c r="Y63" i="1"/>
  <c r="X63" i="1"/>
  <c r="W63" i="1"/>
  <c r="V63" i="1"/>
  <c r="U63" i="1"/>
  <c r="T63" i="1"/>
  <c r="K63" i="1" s="1"/>
  <c r="Y215" i="1"/>
  <c r="X215" i="1"/>
  <c r="W215" i="1"/>
  <c r="V215" i="1"/>
  <c r="U215" i="1"/>
  <c r="T215" i="1"/>
  <c r="K215" i="1" s="1"/>
  <c r="Y124" i="1"/>
  <c r="X124" i="1"/>
  <c r="W124" i="1"/>
  <c r="V124" i="1"/>
  <c r="U124" i="1"/>
  <c r="T124" i="1"/>
  <c r="K124" i="1" s="1"/>
  <c r="Y214" i="1"/>
  <c r="X214" i="1"/>
  <c r="W214" i="1"/>
  <c r="V214" i="1"/>
  <c r="U214" i="1"/>
  <c r="T214" i="1"/>
  <c r="Y123" i="1"/>
  <c r="X123" i="1"/>
  <c r="W123" i="1"/>
  <c r="V123" i="1"/>
  <c r="U123" i="1"/>
  <c r="T123" i="1"/>
  <c r="K123" i="1" s="1"/>
  <c r="Y157" i="1"/>
  <c r="X157" i="1"/>
  <c r="W157" i="1"/>
  <c r="V157" i="1"/>
  <c r="U157" i="1"/>
  <c r="T157" i="1"/>
  <c r="K157" i="1" s="1"/>
  <c r="Y156" i="1"/>
  <c r="X156" i="1"/>
  <c r="W156" i="1"/>
  <c r="V156" i="1"/>
  <c r="U156" i="1"/>
  <c r="T156" i="1"/>
  <c r="K156" i="1" s="1"/>
  <c r="Y243" i="1"/>
  <c r="X243" i="1"/>
  <c r="W243" i="1"/>
  <c r="V243" i="1"/>
  <c r="U243" i="1"/>
  <c r="T243" i="1"/>
  <c r="K243" i="1" s="1"/>
  <c r="Y122" i="1"/>
  <c r="X122" i="1"/>
  <c r="W122" i="1"/>
  <c r="V122" i="1"/>
  <c r="U122" i="1"/>
  <c r="T122" i="1"/>
  <c r="K122" i="1" s="1"/>
  <c r="Y121" i="1"/>
  <c r="X121" i="1"/>
  <c r="W121" i="1"/>
  <c r="V121" i="1"/>
  <c r="U121" i="1"/>
  <c r="T121" i="1"/>
  <c r="K121" i="1" s="1"/>
  <c r="Y120" i="1"/>
  <c r="X120" i="1"/>
  <c r="W120" i="1"/>
  <c r="V120" i="1"/>
  <c r="U120" i="1"/>
  <c r="T120" i="1"/>
  <c r="K120" i="1" s="1"/>
  <c r="Y119" i="1"/>
  <c r="X119" i="1"/>
  <c r="W119" i="1"/>
  <c r="V119" i="1"/>
  <c r="U119" i="1"/>
  <c r="T119" i="1"/>
  <c r="K119" i="1" s="1"/>
  <c r="Y118" i="1"/>
  <c r="X118" i="1"/>
  <c r="W118" i="1"/>
  <c r="V118" i="1"/>
  <c r="U118" i="1"/>
  <c r="T118" i="1"/>
  <c r="K118" i="1" s="1"/>
  <c r="Y117" i="1"/>
  <c r="X117" i="1"/>
  <c r="W117" i="1"/>
  <c r="V117" i="1"/>
  <c r="U117" i="1"/>
  <c r="T117" i="1"/>
  <c r="K117" i="1" s="1"/>
  <c r="Y141" i="1"/>
  <c r="X141" i="1"/>
  <c r="W141" i="1"/>
  <c r="V141" i="1"/>
  <c r="U141" i="1"/>
  <c r="T141" i="1"/>
  <c r="K141" i="1" s="1"/>
  <c r="Y116" i="1"/>
  <c r="X116" i="1"/>
  <c r="W116" i="1"/>
  <c r="V116" i="1"/>
  <c r="U116" i="1"/>
  <c r="T116" i="1"/>
  <c r="K116" i="1" s="1"/>
  <c r="Y242" i="1"/>
  <c r="X242" i="1"/>
  <c r="W242" i="1"/>
  <c r="V242" i="1"/>
  <c r="U242" i="1"/>
  <c r="T242" i="1"/>
  <c r="K242" i="1" s="1"/>
  <c r="Y115" i="1"/>
  <c r="X115" i="1"/>
  <c r="W115" i="1"/>
  <c r="V115" i="1"/>
  <c r="U115" i="1"/>
  <c r="T115" i="1"/>
  <c r="K115" i="1" s="1"/>
  <c r="Y241" i="1"/>
  <c r="X241" i="1"/>
  <c r="W241" i="1"/>
  <c r="V241" i="1"/>
  <c r="U241" i="1"/>
  <c r="T241" i="1"/>
  <c r="K241" i="1" s="1"/>
  <c r="Y114" i="1"/>
  <c r="X114" i="1"/>
  <c r="W114" i="1"/>
  <c r="V114" i="1"/>
  <c r="U114" i="1"/>
  <c r="T114" i="1"/>
  <c r="K114" i="1" s="1"/>
  <c r="Y240" i="1"/>
  <c r="X240" i="1"/>
  <c r="W240" i="1"/>
  <c r="V240" i="1"/>
  <c r="U240" i="1"/>
  <c r="T240" i="1"/>
  <c r="K240" i="1" s="1"/>
  <c r="Y239" i="1"/>
  <c r="X239" i="1"/>
  <c r="W239" i="1"/>
  <c r="V239" i="1"/>
  <c r="U239" i="1"/>
  <c r="T239" i="1"/>
  <c r="K239" i="1" s="1"/>
  <c r="Y113" i="1"/>
  <c r="X113" i="1"/>
  <c r="W113" i="1"/>
  <c r="V113" i="1"/>
  <c r="U113" i="1"/>
  <c r="T113" i="1"/>
  <c r="K113" i="1" s="1"/>
  <c r="Y238" i="1"/>
  <c r="X238" i="1"/>
  <c r="W238" i="1"/>
  <c r="V238" i="1"/>
  <c r="U238" i="1"/>
  <c r="T238" i="1"/>
  <c r="K238" i="1" s="1"/>
  <c r="Y112" i="1"/>
  <c r="X112" i="1"/>
  <c r="W112" i="1"/>
  <c r="V112" i="1"/>
  <c r="U112" i="1"/>
  <c r="T112" i="1"/>
  <c r="Y237" i="1"/>
  <c r="X237" i="1"/>
  <c r="W237" i="1"/>
  <c r="V237" i="1"/>
  <c r="U237" i="1"/>
  <c r="T237" i="1"/>
  <c r="B6" i="2"/>
  <c r="B5" i="2"/>
  <c r="B4" i="2"/>
  <c r="B3" i="2"/>
  <c r="B2" i="2"/>
  <c r="J10" i="1" l="1"/>
  <c r="D74" i="4"/>
  <c r="E74" i="4" s="1"/>
  <c r="D73" i="4"/>
  <c r="E73" i="4" s="1"/>
  <c r="D72" i="4"/>
  <c r="E72" i="4" s="1"/>
  <c r="D71" i="4"/>
  <c r="E71" i="4" s="1"/>
  <c r="D70" i="4"/>
  <c r="E70" i="4" s="1"/>
  <c r="D69" i="4"/>
  <c r="K112" i="1"/>
  <c r="G51" i="4"/>
  <c r="K214" i="1"/>
  <c r="G33" i="4"/>
  <c r="K99" i="1"/>
  <c r="G48" i="4"/>
  <c r="K283" i="1"/>
  <c r="G57" i="4"/>
  <c r="K203" i="1"/>
  <c r="G62" i="4"/>
  <c r="K41" i="1"/>
  <c r="G54" i="4"/>
  <c r="G6" i="4"/>
  <c r="K270" i="1"/>
  <c r="G58" i="4"/>
  <c r="K78" i="1"/>
  <c r="G38" i="4"/>
  <c r="K260" i="1"/>
  <c r="G56" i="4"/>
  <c r="K226" i="1"/>
  <c r="G34" i="4"/>
  <c r="K127" i="1"/>
  <c r="G53" i="4"/>
  <c r="K65" i="1"/>
  <c r="G45" i="4"/>
  <c r="K36" i="1"/>
  <c r="G49" i="4"/>
  <c r="K4" i="1"/>
  <c r="G36" i="4"/>
  <c r="K168" i="1"/>
  <c r="G37" i="4"/>
  <c r="K188" i="1"/>
  <c r="G42" i="4"/>
  <c r="K154" i="1"/>
  <c r="G44" i="4"/>
  <c r="K142" i="1"/>
  <c r="G31" i="4"/>
  <c r="K30" i="1"/>
  <c r="G60" i="4"/>
  <c r="K12" i="1"/>
  <c r="G52" i="4"/>
  <c r="K34" i="1"/>
  <c r="G35" i="4"/>
  <c r="K53" i="1"/>
  <c r="G43" i="4"/>
  <c r="G7" i="4"/>
  <c r="K55" i="1"/>
  <c r="G64" i="4"/>
  <c r="K244" i="1"/>
  <c r="G50" i="4"/>
  <c r="K56" i="1"/>
  <c r="G32" i="4"/>
  <c r="K59" i="1"/>
  <c r="G47" i="4"/>
  <c r="K57" i="1"/>
  <c r="G39" i="4"/>
  <c r="K58" i="1"/>
  <c r="G46" i="4"/>
  <c r="K52" i="1"/>
  <c r="G61" i="4"/>
  <c r="K46" i="1"/>
  <c r="G40" i="4"/>
  <c r="K60" i="1"/>
  <c r="G59" i="4"/>
  <c r="K167" i="1"/>
  <c r="G63" i="4"/>
  <c r="K144" i="1"/>
  <c r="G55" i="4"/>
  <c r="G12" i="4" a="1"/>
  <c r="G12" i="4" s="1"/>
  <c r="G13" i="4" a="1"/>
  <c r="G13" i="4" s="1"/>
  <c r="G14" i="4" a="1"/>
  <c r="G14" i="4" s="1"/>
  <c r="G15" i="4" a="1"/>
  <c r="G15" i="4" s="1"/>
  <c r="G16" i="4" a="1"/>
  <c r="G16" i="4" s="1"/>
  <c r="G17" i="4" a="1"/>
  <c r="G17" i="4" s="1"/>
  <c r="G18" i="4" a="1"/>
  <c r="G18" i="4" s="1"/>
  <c r="G19" i="4" a="1"/>
  <c r="G19" i="4" s="1"/>
  <c r="G20" i="4" a="1"/>
  <c r="G20" i="4" s="1"/>
  <c r="G21" i="4" a="1"/>
  <c r="G21" i="4" s="1"/>
  <c r="G22" i="4" a="1"/>
  <c r="G22" i="4" s="1"/>
  <c r="G23" i="4" a="1"/>
  <c r="G23" i="4" s="1"/>
  <c r="G24" i="4" a="1"/>
  <c r="G24" i="4" s="1"/>
  <c r="G25" i="4" a="1"/>
  <c r="G25" i="4" s="1"/>
  <c r="G26" i="4" a="1"/>
  <c r="G26" i="4" s="1"/>
  <c r="D12" i="4" a="1"/>
  <c r="D12" i="4" s="1"/>
  <c r="F12" i="4" s="1"/>
  <c r="D13" i="4" a="1"/>
  <c r="D13" i="4" s="1"/>
  <c r="D16" i="4" a="1"/>
  <c r="D16" i="4" s="1"/>
  <c r="D19" i="4" a="1"/>
  <c r="D19" i="4" s="1"/>
  <c r="F19" i="4" s="1"/>
  <c r="D22" i="4" a="1"/>
  <c r="D22" i="4" s="1"/>
  <c r="D25" i="4" a="1"/>
  <c r="D25" i="4" s="1"/>
  <c r="E25" i="4" s="1"/>
  <c r="D5" i="4" a="1"/>
  <c r="D5" i="4" s="1"/>
  <c r="D33" i="4" a="1"/>
  <c r="D33" i="4" s="1"/>
  <c r="D14" i="4" a="1"/>
  <c r="D14" i="4" s="1"/>
  <c r="F14" i="4" s="1"/>
  <c r="D17" i="4" a="1"/>
  <c r="D17" i="4" s="1"/>
  <c r="E17" i="4" s="1"/>
  <c r="D20" i="4" a="1"/>
  <c r="D20" i="4" s="1"/>
  <c r="D23" i="4" a="1"/>
  <c r="D23" i="4" s="1"/>
  <c r="F23" i="4" s="1"/>
  <c r="D26" i="4" a="1"/>
  <c r="D26" i="4" s="1"/>
  <c r="F26" i="4" s="1"/>
  <c r="D7" i="4" a="1"/>
  <c r="D7" i="4" s="1"/>
  <c r="D34" i="4" a="1"/>
  <c r="D34" i="4" s="1"/>
  <c r="F34" i="4" s="1"/>
  <c r="G5" i="4"/>
  <c r="G8" i="4" s="1"/>
  <c r="D15" i="4" a="1"/>
  <c r="D15" i="4" s="1"/>
  <c r="D18" i="4" a="1"/>
  <c r="D18" i="4" s="1"/>
  <c r="E18" i="4" s="1"/>
  <c r="D21" i="4" a="1"/>
  <c r="D21" i="4" s="1"/>
  <c r="F21" i="4" s="1"/>
  <c r="D24" i="4" a="1"/>
  <c r="D24" i="4" s="1"/>
  <c r="D6" i="4" a="1"/>
  <c r="D6" i="4" s="1"/>
  <c r="D31" i="4" a="1"/>
  <c r="D31" i="4" s="1"/>
  <c r="D32" i="4" a="1"/>
  <c r="D32" i="4" s="1"/>
  <c r="F32" i="4" s="1"/>
  <c r="K237" i="1"/>
  <c r="D64" i="4" a="1"/>
  <c r="D64" i="4" s="1"/>
  <c r="F64" i="4" s="1"/>
  <c r="D63" i="4" a="1"/>
  <c r="D63" i="4" s="1"/>
  <c r="F63" i="4" s="1"/>
  <c r="D62" i="4" a="1"/>
  <c r="D62" i="4" s="1"/>
  <c r="F62" i="4" s="1"/>
  <c r="D61" i="4" a="1"/>
  <c r="D61" i="4" s="1"/>
  <c r="E61" i="4" s="1"/>
  <c r="D60" i="4" a="1"/>
  <c r="D60" i="4" s="1"/>
  <c r="E60" i="4" s="1"/>
  <c r="D59" i="4" a="1"/>
  <c r="D59" i="4" s="1"/>
  <c r="F59" i="4" s="1"/>
  <c r="D58" i="4" a="1"/>
  <c r="D58" i="4" s="1"/>
  <c r="F58" i="4" s="1"/>
  <c r="D57" i="4" a="1"/>
  <c r="D57" i="4" s="1"/>
  <c r="F57" i="4" s="1"/>
  <c r="D56" i="4" a="1"/>
  <c r="D56" i="4" s="1"/>
  <c r="F56" i="4" s="1"/>
  <c r="D55" i="4" a="1"/>
  <c r="D55" i="4" s="1"/>
  <c r="F55" i="4" s="1"/>
  <c r="D54" i="4" a="1"/>
  <c r="D54" i="4" s="1"/>
  <c r="E54" i="4" s="1"/>
  <c r="D53" i="4" a="1"/>
  <c r="D53" i="4" s="1"/>
  <c r="F53" i="4" s="1"/>
  <c r="D52" i="4" a="1"/>
  <c r="D52" i="4" s="1"/>
  <c r="E52" i="4" s="1"/>
  <c r="D51" i="4" a="1"/>
  <c r="D51" i="4" s="1"/>
  <c r="E51" i="4" s="1"/>
  <c r="D50" i="4" a="1"/>
  <c r="D50" i="4" s="1"/>
  <c r="F50" i="4" s="1"/>
  <c r="D49" i="4" a="1"/>
  <c r="D49" i="4" s="1"/>
  <c r="F49" i="4" s="1"/>
  <c r="D48" i="4" a="1"/>
  <c r="D48" i="4" s="1"/>
  <c r="F48" i="4" s="1"/>
  <c r="D47" i="4" a="1"/>
  <c r="D47" i="4" s="1"/>
  <c r="F47" i="4" s="1"/>
  <c r="D46" i="4" a="1"/>
  <c r="D46" i="4" s="1"/>
  <c r="F46" i="4" s="1"/>
  <c r="D45" i="4" a="1"/>
  <c r="D45" i="4" s="1"/>
  <c r="E45" i="4" s="1"/>
  <c r="D44" i="4" a="1"/>
  <c r="D44" i="4" s="1"/>
  <c r="F44" i="4" s="1"/>
  <c r="D43" i="4" a="1"/>
  <c r="D43" i="4" s="1"/>
  <c r="E43" i="4" s="1"/>
  <c r="D42" i="4" a="1"/>
  <c r="D42" i="4" s="1"/>
  <c r="E42" i="4" s="1"/>
  <c r="G41" i="4"/>
  <c r="D41" i="4" a="1"/>
  <c r="D41" i="4" s="1"/>
  <c r="F41" i="4" s="1"/>
  <c r="D40" i="4" a="1"/>
  <c r="D40" i="4" s="1"/>
  <c r="F40" i="4" s="1"/>
  <c r="D39" i="4" a="1"/>
  <c r="D39" i="4" s="1"/>
  <c r="F39" i="4" s="1"/>
  <c r="D38" i="4" a="1"/>
  <c r="D38" i="4" s="1"/>
  <c r="E38" i="4" s="1"/>
  <c r="D37" i="4" a="1"/>
  <c r="D37" i="4" s="1"/>
  <c r="F37" i="4" s="1"/>
  <c r="D36" i="4" a="1"/>
  <c r="D36" i="4" s="1"/>
  <c r="F36" i="4" s="1"/>
  <c r="F33" i="4"/>
  <c r="E33" i="4"/>
  <c r="E34" i="4"/>
  <c r="E41" i="4"/>
  <c r="E46" i="4"/>
  <c r="F52" i="4"/>
  <c r="E55" i="4"/>
  <c r="F61" i="4"/>
  <c r="E64" i="4"/>
  <c r="F13" i="4"/>
  <c r="E13" i="4"/>
  <c r="E14" i="4"/>
  <c r="F15" i="4"/>
  <c r="E15" i="4"/>
  <c r="F16" i="4"/>
  <c r="E16" i="4"/>
  <c r="F20" i="4"/>
  <c r="E20" i="4"/>
  <c r="F22" i="4"/>
  <c r="E22" i="4"/>
  <c r="E23" i="4"/>
  <c r="F24" i="4"/>
  <c r="E24" i="4"/>
  <c r="F25" i="4"/>
  <c r="E58" i="4" l="1"/>
  <c r="E49" i="4"/>
  <c r="F43" i="4"/>
  <c r="E26" i="4"/>
  <c r="E19" i="4"/>
  <c r="D35" i="4" a="1"/>
  <c r="D35" i="4" s="1"/>
  <c r="K10" i="1"/>
  <c r="F51" i="4"/>
  <c r="E48" i="4"/>
  <c r="F45" i="4"/>
  <c r="E63" i="4"/>
  <c r="F60" i="4"/>
  <c r="E57" i="4"/>
  <c r="F54" i="4"/>
  <c r="F42" i="4"/>
  <c r="G65" i="4"/>
  <c r="F18" i="4"/>
  <c r="F17" i="4"/>
  <c r="D75" i="4"/>
  <c r="E69" i="4"/>
  <c r="E75" i="4" s="1"/>
  <c r="E21" i="4"/>
  <c r="E62" i="4"/>
  <c r="F38" i="4"/>
  <c r="E37" i="4"/>
  <c r="E40" i="4"/>
  <c r="E53" i="4"/>
  <c r="E44" i="4"/>
  <c r="E12" i="4"/>
  <c r="E56" i="4"/>
  <c r="E47" i="4"/>
  <c r="E59" i="4"/>
  <c r="E50" i="4"/>
  <c r="E39" i="4"/>
  <c r="D27" i="4"/>
  <c r="F27" i="4" s="1"/>
  <c r="G27" i="4"/>
  <c r="E36" i="4"/>
  <c r="E32" i="4"/>
  <c r="F5" i="4"/>
  <c r="E5" i="4"/>
  <c r="D8" i="4"/>
  <c r="F8" i="4" s="1"/>
  <c r="F7" i="4"/>
  <c r="E7" i="4"/>
  <c r="F31" i="4"/>
  <c r="E31" i="4"/>
  <c r="E6" i="4"/>
  <c r="F6" i="4"/>
  <c r="E35" i="4" l="1"/>
  <c r="F35" i="4"/>
  <c r="D65" i="4"/>
  <c r="F65" i="4" s="1"/>
  <c r="E27" i="4"/>
  <c r="E8" i="4"/>
  <c r="E65" i="4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<sst xmlns="http://schemas.openxmlformats.org/spreadsheetml/2006/main" count="2473" uniqueCount="828">
  <si>
    <t>Q4 DEALER SCHEME — SUMMARY DASHBOARD</t>
  </si>
  <si>
    <t>ZONE-WISE SUMMARY</t>
  </si>
  <si>
    <t>Zone</t>
  </si>
  <si>
    <t>Total Dealers</t>
  </si>
  <si>
    <t>Total Earned Points</t>
  </si>
  <si>
    <t>Total Points Utilized</t>
  </si>
  <si>
    <t>Points Remaining</t>
  </si>
  <si>
    <t>% Utilized</t>
  </si>
  <si>
    <t>Gifts Selected (Dealers)</t>
  </si>
  <si>
    <t>North</t>
  </si>
  <si>
    <t>Central</t>
  </si>
  <si>
    <t>East</t>
  </si>
  <si>
    <t>TOTAL</t>
  </si>
  <si>
    <t>STATE-WISE SUMMARY</t>
  </si>
  <si>
    <t>State</t>
  </si>
  <si>
    <t>BIHAR</t>
  </si>
  <si>
    <t>CHHATTISGARH</t>
  </si>
  <si>
    <t>DELHI</t>
  </si>
  <si>
    <t>HARYANA</t>
  </si>
  <si>
    <t>HIMACHAL PRADESH</t>
  </si>
  <si>
    <t>JAMMU AND KASHMIR</t>
  </si>
  <si>
    <t>JHARKHAND</t>
  </si>
  <si>
    <t>MADHYA PRADESH</t>
  </si>
  <si>
    <t>MAHARASHTRA</t>
  </si>
  <si>
    <t>ODISHA</t>
  </si>
  <si>
    <t>PUNJAB</t>
  </si>
  <si>
    <t>RAJASTHAN</t>
  </si>
  <si>
    <t>UTTAR PRADESH</t>
  </si>
  <si>
    <t>UTTARAKHAND</t>
  </si>
  <si>
    <t>WEST BENGAL</t>
  </si>
  <si>
    <t>DISTRIBUTOR-WISE SUMMARY</t>
  </si>
  <si>
    <t>Distributor</t>
  </si>
  <si>
    <t>AGGARWAL TRADERS</t>
  </si>
  <si>
    <t>CHANDRA TRADERS</t>
  </si>
  <si>
    <t>DINESH STEEL PRIVATE LIMITED</t>
  </si>
  <si>
    <t>GOBINDGARH IRON LLP</t>
  </si>
  <si>
    <t>GOLDWIN ISPAT PRIVATE LIMITED</t>
  </si>
  <si>
    <t>Global Steel</t>
  </si>
  <si>
    <t>J P Alloys</t>
  </si>
  <si>
    <t>JAI DURGA STEELS</t>
  </si>
  <si>
    <t>KEDIA PIPES PRIVATE LMITED</t>
  </si>
  <si>
    <t>KHARAKIA METALS PRIVATE LIMITED</t>
  </si>
  <si>
    <t>Khandelwal Associates</t>
  </si>
  <si>
    <t>M R ASSOCIATES</t>
  </si>
  <si>
    <t>M/S REAL DREAMS ENTERPRISES</t>
  </si>
  <si>
    <t>MAHAVIR STEEL CORPORATION</t>
  </si>
  <si>
    <t>MAHENDRA STEELS</t>
  </si>
  <si>
    <t>MAHESHWARI SALES AGENCY</t>
  </si>
  <si>
    <t>NERIUM MULTICOM LLP</t>
  </si>
  <si>
    <t>NIKUNJ UDYOG</t>
  </si>
  <si>
    <t>Niyati Udyog Private Limited</t>
  </si>
  <si>
    <t>OPTRIX INFRA LLP</t>
  </si>
  <si>
    <t>PAL CEMENT AND STEEL PVT. LTD.</t>
  </si>
  <si>
    <t>R. K. ENTERPRISES</t>
  </si>
  <si>
    <t>Ramdoot Udhyog Private limited</t>
  </si>
  <si>
    <t>SACHDEVA ISPAT PRIVATE LIMITED</t>
  </si>
  <si>
    <t>SHALIKA ENTERPRISES PRIVATE LIMITED</t>
  </si>
  <si>
    <t>SHASHI STEELS CORPORATION</t>
  </si>
  <si>
    <t>SHIVA SALES INDIA CORPORATION</t>
  </si>
  <si>
    <t>SHREE LAKSHMAN ROLLING MILL (INDIA) LLP</t>
  </si>
  <si>
    <t>SILIGURI BUILDERS STORES</t>
  </si>
  <si>
    <t>SSTL (INDIA) PRIVATE LIMITED</t>
  </si>
  <si>
    <t>SUBH NEXTGEN PRIVATE LIMITED</t>
  </si>
  <si>
    <t>SWASTIK TRADEVISION PRIVATE LIMITED</t>
  </si>
  <si>
    <t>TANVI SALES</t>
  </si>
  <si>
    <t>TIRUPATI SALES</t>
  </si>
  <si>
    <t>GIFT SLAB DISTRIBUTION</t>
  </si>
  <si>
    <t>Slab</t>
  </si>
  <si>
    <t>Gift</t>
  </si>
  <si>
    <t>Points Required</t>
  </si>
  <si>
    <t>Eligible Dealers</t>
  </si>
  <si>
    <t>% of Total</t>
  </si>
  <si>
    <t>A</t>
  </si>
  <si>
    <t>Foot massager</t>
  </si>
  <si>
    <t>B</t>
  </si>
  <si>
    <t>Sony - sound bar, woofer and speakers</t>
  </si>
  <si>
    <t>C</t>
  </si>
  <si>
    <t>Robot Vacuum cleaner</t>
  </si>
  <si>
    <t>D</t>
  </si>
  <si>
    <t>Apple iPad</t>
  </si>
  <si>
    <t>E</t>
  </si>
  <si>
    <t>Samsung front-load washing machine</t>
  </si>
  <si>
    <t>Below Slab</t>
  </si>
  <si>
    <t>Not eligible</t>
  </si>
  <si>
    <t>&lt;750</t>
  </si>
  <si>
    <t>SF Id</t>
  </si>
  <si>
    <t>Retailer Name</t>
  </si>
  <si>
    <t>Distributor Name</t>
  </si>
  <si>
    <t>State Name</t>
  </si>
  <si>
    <t>District Name</t>
  </si>
  <si>
    <t>Distributor self-counter (Yes/No)</t>
  </si>
  <si>
    <t>Q4 Vol. under eligible scheme</t>
  </si>
  <si>
    <t>Earned Points</t>
  </si>
  <si>
    <t>Point utilized</t>
  </si>
  <si>
    <t>Point Balance</t>
  </si>
  <si>
    <t>Current gift</t>
  </si>
  <si>
    <t>Gift 1</t>
  </si>
  <si>
    <t>Gift 2</t>
  </si>
  <si>
    <t>Gift 3</t>
  </si>
  <si>
    <t>Gift 4</t>
  </si>
  <si>
    <t>Gift 5</t>
  </si>
  <si>
    <t>Gift 6</t>
  </si>
  <si>
    <t>Gift 7 [Amazon Voucher]</t>
  </si>
  <si>
    <t>Gift 1 Points</t>
  </si>
  <si>
    <t>Gift 2 Points</t>
  </si>
  <si>
    <t>Gift 3 Points</t>
  </si>
  <si>
    <t>Gift 4 Points</t>
  </si>
  <si>
    <t>Gift 5 Points</t>
  </si>
  <si>
    <t>Gift 6 Points</t>
  </si>
  <si>
    <t>Gift 7 Points</t>
  </si>
  <si>
    <t>Eligible Slab</t>
  </si>
  <si>
    <t>Max Eligible Gift</t>
  </si>
  <si>
    <t>001fw00000MQoULAA1</t>
  </si>
  <si>
    <t>ANURAG SALES</t>
  </si>
  <si>
    <t>RAIPUR</t>
  </si>
  <si>
    <t>No</t>
  </si>
  <si>
    <t>001fw000007ARJ6AAO</t>
  </si>
  <si>
    <t>BOLD STEEL SUPPLIERS</t>
  </si>
  <si>
    <t>001J1000009H3hzIAC</t>
  </si>
  <si>
    <t>ATC9 STEELS LIMITED</t>
  </si>
  <si>
    <t>BHOPAL</t>
  </si>
  <si>
    <t>001J100000RypIXIAZ</t>
  </si>
  <si>
    <t>CHAYNIKA ASSOCIATES</t>
  </si>
  <si>
    <t>Niwari</t>
  </si>
  <si>
    <t>0015g000015zvW3AAI</t>
  </si>
  <si>
    <t>SANJAY STEEL TRADERS</t>
  </si>
  <si>
    <t>REWA</t>
  </si>
  <si>
    <t>001fw00000IwnR1AAJ</t>
  </si>
  <si>
    <t>ANAND STEEL</t>
  </si>
  <si>
    <t>SAGAR</t>
  </si>
  <si>
    <t>001J100000TuwCtIAJ</t>
  </si>
  <si>
    <t>GUNJAN ENTERPRISES</t>
  </si>
  <si>
    <t>001fw000004MziWAAS</t>
  </si>
  <si>
    <t>DISHA TRADERS</t>
  </si>
  <si>
    <t>Sony - Sound bar, woofer and speakers</t>
  </si>
  <si>
    <t>001J100000RypIrIAJ</t>
  </si>
  <si>
    <t>SHEROCK VENTURES PRIVATE LIMITED</t>
  </si>
  <si>
    <t>Yes</t>
  </si>
  <si>
    <t>0015g00001XK3RqAAL</t>
  </si>
  <si>
    <t>LAXMI ISPAT COMPANY</t>
  </si>
  <si>
    <t>JABALPUR</t>
  </si>
  <si>
    <t>0015g00001XM8sxAAD</t>
  </si>
  <si>
    <t>NEW JAIN STEEL</t>
  </si>
  <si>
    <t>INDORE</t>
  </si>
  <si>
    <t>001J100000RyrcBIAR</t>
  </si>
  <si>
    <t>M/S BAHUBALI TRADING COMPANY</t>
  </si>
  <si>
    <t>001J1000002mer3IAA</t>
  </si>
  <si>
    <t>SHREE NAKODA STEELS</t>
  </si>
  <si>
    <t>001fw000004hGwxAAE</t>
  </si>
  <si>
    <t>SHARVI ENTERPRISES</t>
  </si>
  <si>
    <t>DHAR</t>
  </si>
  <si>
    <t>001J1000006KXIRIA4</t>
  </si>
  <si>
    <t>TARMAL ENTERPRISES</t>
  </si>
  <si>
    <t>MANDSAUR</t>
  </si>
  <si>
    <t>001J100000Ge62uIAB</t>
  </si>
  <si>
    <t>P.D. ENTERPRISES</t>
  </si>
  <si>
    <t>RAJGARH</t>
  </si>
  <si>
    <t>001J1000006V8u0IAC</t>
  </si>
  <si>
    <t>KHANDELWAL AGENCIES PRIVATE LIMITED</t>
  </si>
  <si>
    <t>001fw00000CimN0AAJ</t>
  </si>
  <si>
    <t>QUALITY SALES CORPORATION</t>
  </si>
  <si>
    <t>001J1000005ZUB5IAO</t>
  </si>
  <si>
    <t>Vijay Mohan Steel Industries PVT. LTD.</t>
  </si>
  <si>
    <t>001J100000RzabCIAR</t>
  </si>
  <si>
    <t>MAHAVEER TRADERS</t>
  </si>
  <si>
    <t>JHABUA</t>
  </si>
  <si>
    <t>0015g00001LVcLpAAL</t>
  </si>
  <si>
    <t>NITA STEEL SUPPLIERS</t>
  </si>
  <si>
    <t>001J100000RyrftIAB</t>
  </si>
  <si>
    <t>M/S LONG ISLAND TRADING CO.PVT.LTD.</t>
  </si>
  <si>
    <t>001J100000Vm7W7IAJ</t>
  </si>
  <si>
    <t>V.K. SALES CORPORATION</t>
  </si>
  <si>
    <t>001J1000003nUATIA2</t>
  </si>
  <si>
    <t>SHREE ENTERPRISES</t>
  </si>
  <si>
    <t>001J100000RyyN1IAJ</t>
  </si>
  <si>
    <t>ROHIT ENTERPRISES</t>
  </si>
  <si>
    <t>001fw00000HWAc4AAH</t>
  </si>
  <si>
    <t>SAGAR STEEL</t>
  </si>
  <si>
    <t>NEEMUCH</t>
  </si>
  <si>
    <t>001J100000JsPbfIAF</t>
  </si>
  <si>
    <t>Ratnaraj Traders Gandhinagar Indore</t>
  </si>
  <si>
    <t>001J100000Jrpe7IAB</t>
  </si>
  <si>
    <t>SHREE SHANTINATH STEEL</t>
  </si>
  <si>
    <t>0015g00001ejkuBAAQ</t>
  </si>
  <si>
    <t>SATI CONSTRUCTIONS CORNER</t>
  </si>
  <si>
    <t>AKOLA</t>
  </si>
  <si>
    <t>001J1000003jw0sIAA</t>
  </si>
  <si>
    <t>SHIVANI ENTERPRISE, GUGHUSH ROAD CHANDRAPUR</t>
  </si>
  <si>
    <t>Maharashtra</t>
  </si>
  <si>
    <t>Chandrapur</t>
  </si>
  <si>
    <t>001J1000003k14MIAQ</t>
  </si>
  <si>
    <t>ROHIT IRON AND STEEL INDIA PVT LTD</t>
  </si>
  <si>
    <t>NAGPUR</t>
  </si>
  <si>
    <t>0015g00001fUNvWAAW</t>
  </si>
  <si>
    <t>D KHANDELWAL STEEL CORPORATION</t>
  </si>
  <si>
    <t>001J100000O6Ha9IAF</t>
  </si>
  <si>
    <t>LAXMISAROJINI BUSINESS PRIVATE LIMITED</t>
  </si>
  <si>
    <t>GANJAM</t>
  </si>
  <si>
    <t>001J100000VnaEkIAJ</t>
  </si>
  <si>
    <t>SAND WORTH INFRA</t>
  </si>
  <si>
    <t>CUTTACK</t>
  </si>
  <si>
    <t>001J1000006Up8wIAC</t>
  </si>
  <si>
    <t>M/S HIMANSU STEEL</t>
  </si>
  <si>
    <t>DHENKANAL</t>
  </si>
  <si>
    <t>001J100000NbwVLIAZ</t>
  </si>
  <si>
    <t>M/S. JAYA DURGA STORE</t>
  </si>
  <si>
    <t>NAYAGARH</t>
  </si>
  <si>
    <t>001J1000002mDzoIAE</t>
  </si>
  <si>
    <t>MARUTI COMMERCIALS</t>
  </si>
  <si>
    <t>KHORDHA</t>
  </si>
  <si>
    <t>001J1000007oX5TIAU</t>
  </si>
  <si>
    <t>BHOL TRADERS</t>
  </si>
  <si>
    <t>001J1000009EpwsIAC</t>
  </si>
  <si>
    <t>J D ENTERPRISES</t>
  </si>
  <si>
    <t>0015g00000pCMC8AAO</t>
  </si>
  <si>
    <t>MAA ENTERPRISES</t>
  </si>
  <si>
    <t>JHARSUGUDA</t>
  </si>
  <si>
    <t>001J100000RyyqrIAB</t>
  </si>
  <si>
    <t>M/S. MAHA BINAYAK TRADERS</t>
  </si>
  <si>
    <t>KALAHANDI</t>
  </si>
  <si>
    <t>0015g00001YOGwKAAX</t>
  </si>
  <si>
    <t>Maa Bhagwati Traders</t>
  </si>
  <si>
    <t>001J100000F4YxqIAF</t>
  </si>
  <si>
    <t>KALING HARDWARE AND CONSTRUCTION</t>
  </si>
  <si>
    <t>KENDUJHAR</t>
  </si>
  <si>
    <t>001J100000VlcQxIAJ</t>
  </si>
  <si>
    <t>MAA VAISHNAVI TRADERS</t>
  </si>
  <si>
    <t>001fw00000KuTtSAAV</t>
  </si>
  <si>
    <t>M. A. TRADERS</t>
  </si>
  <si>
    <t>DARBHANGA</t>
  </si>
  <si>
    <t>001fw00000Kvt16AAB</t>
  </si>
  <si>
    <t>SHREE VISHNU STEEL</t>
  </si>
  <si>
    <t>GAYA</t>
  </si>
  <si>
    <t>001fw00000HJ5NBAA1</t>
  </si>
  <si>
    <t>M/S MAA KALIKA HARDWARE</t>
  </si>
  <si>
    <t>MADHUBANI</t>
  </si>
  <si>
    <t>001J100000VnWk6IAF</t>
  </si>
  <si>
    <t>DIDWANIA STEELS LLP</t>
  </si>
  <si>
    <t>BHAGALPUR</t>
  </si>
  <si>
    <t>001J100000Vm6rJIAR</t>
  </si>
  <si>
    <t>BESIM INDUSTRIES PRIVATE LIMITED</t>
  </si>
  <si>
    <t>ROHTAS</t>
  </si>
  <si>
    <t>001J1000006TDs4IAG</t>
  </si>
  <si>
    <t>ZAFAR TRADING COMPANY</t>
  </si>
  <si>
    <t>001fw00000Gb5PKAAZ</t>
  </si>
  <si>
    <t>Lead - 7903576323</t>
  </si>
  <si>
    <t>SIWAN</t>
  </si>
  <si>
    <t>001fw00000EdKhyAAF</t>
  </si>
  <si>
    <t>M/S KAMAL INFRA</t>
  </si>
  <si>
    <t>RANCHI</t>
  </si>
  <si>
    <t>001fw000003K5OPAA0</t>
  </si>
  <si>
    <t>SHREE TRADERS</t>
  </si>
  <si>
    <t>001fw000007SMKwAAO</t>
  </si>
  <si>
    <t>G AND SONS</t>
  </si>
  <si>
    <t>BOKARO</t>
  </si>
  <si>
    <t>001fw000005GxVwAAK</t>
  </si>
  <si>
    <t>MONDAL ENTERPRISE</t>
  </si>
  <si>
    <t>MURSHIDABAD</t>
  </si>
  <si>
    <t>001J100000Vl8ygIAB</t>
  </si>
  <si>
    <t>NIRMALA HARDWARE</t>
  </si>
  <si>
    <t>24 PARAGANAS SOUTH</t>
  </si>
  <si>
    <t>001fw000007uzMgAAI</t>
  </si>
  <si>
    <t>L K STEEL</t>
  </si>
  <si>
    <t>DINAJPUR UTTAR</t>
  </si>
  <si>
    <t>001J100000VnU1bIAF</t>
  </si>
  <si>
    <t>MAA MANASA CONCRETE</t>
  </si>
  <si>
    <t>MEDINIPUR WEST</t>
  </si>
  <si>
    <t>001fw000004bcNPAAY</t>
  </si>
  <si>
    <t>PAUL HARDWARE NO. 1</t>
  </si>
  <si>
    <t>DARJEELING</t>
  </si>
  <si>
    <t>001fw00000Axf1OAAR</t>
  </si>
  <si>
    <t>BUILDERS ENTERPRISE</t>
  </si>
  <si>
    <t>KALIMPONG</t>
  </si>
  <si>
    <t>0015g00001V9TjDAAV</t>
  </si>
  <si>
    <t>Govind Steels</t>
  </si>
  <si>
    <t>001J100000F4iolIAB</t>
  </si>
  <si>
    <t>PARBHU DAYAL AND SONS</t>
  </si>
  <si>
    <t>0015g00001dHW5fAAG</t>
  </si>
  <si>
    <t>M/S DHAN LAXMI TRADERS</t>
  </si>
  <si>
    <t>001J1000007oMDhIAM</t>
  </si>
  <si>
    <t>BRIJ LAL STEELCON CO</t>
  </si>
  <si>
    <t>SHAHDARA</t>
  </si>
  <si>
    <t>0015g00001VAiB8AAL</t>
  </si>
  <si>
    <t>RAJDHANI SALES CORPORATION</t>
  </si>
  <si>
    <t>SOUTH</t>
  </si>
  <si>
    <t>0015g00001ZV7hHAAT</t>
  </si>
  <si>
    <t>SHREE RAJ SHYAMAJI ENTERPRISES</t>
  </si>
  <si>
    <t>NEW DELHI</t>
  </si>
  <si>
    <t>001J100000Vn6xxIAB</t>
  </si>
  <si>
    <t>KHANDELWAL  STEELS</t>
  </si>
  <si>
    <t>0015g00001X33NEAAZ</t>
  </si>
  <si>
    <t>LAKSHMI SALES CORPORATION</t>
  </si>
  <si>
    <t>EAST</t>
  </si>
  <si>
    <t>001J100000F4OgOIAV</t>
  </si>
  <si>
    <t>RAJU STEEL CO</t>
  </si>
  <si>
    <t>001J100000VnU7tIAF</t>
  </si>
  <si>
    <t>HARIOM STEEL INFRA PRIVATE LIMITED</t>
  </si>
  <si>
    <t>WEST</t>
  </si>
  <si>
    <t>001fw00000A5Xp2AAF</t>
  </si>
  <si>
    <t>HINDUSTAN STEEL</t>
  </si>
  <si>
    <t>SOUTH WEST</t>
  </si>
  <si>
    <t>001J1000005aTwPIAU</t>
  </si>
  <si>
    <t>RAM DHAN ASHOK KUMAR</t>
  </si>
  <si>
    <t>0015g00001V9yuBAAR</t>
  </si>
  <si>
    <t>RAJINDRA STEELS</t>
  </si>
  <si>
    <t>0015g00001XKTtsAAH</t>
  </si>
  <si>
    <t>SIDDHI VINAYAK STEEL</t>
  </si>
  <si>
    <t>001fw00000JcbGeAAJ</t>
  </si>
  <si>
    <t>MUKESH STEELS</t>
  </si>
  <si>
    <t>0015g00001c3iLHAAY</t>
  </si>
  <si>
    <t>HARYANA STEEL COMPANY</t>
  </si>
  <si>
    <t>NORTH EAST</t>
  </si>
  <si>
    <t>0015g00001gv7wFAAQ</t>
  </si>
  <si>
    <t>BABA SHEOT NATH CEMENT STORE</t>
  </si>
  <si>
    <t>ROHTAK</t>
  </si>
  <si>
    <t>0015g00001X5nrSAAR</t>
  </si>
  <si>
    <t>GOEL TRADING CO</t>
  </si>
  <si>
    <t>0015g00001guqY4AAI</t>
  </si>
  <si>
    <t>SOHAN TRADING CO.</t>
  </si>
  <si>
    <t>SONIPAT</t>
  </si>
  <si>
    <t>001J100000BPKGwIAP</t>
  </si>
  <si>
    <t>CH STEELS</t>
  </si>
  <si>
    <t>JHAJJAR</t>
  </si>
  <si>
    <t>0015g00001VA77GAAT</t>
  </si>
  <si>
    <t>SHREE SHYAM STEEL</t>
  </si>
  <si>
    <t>001J100000JsZI8IAN</t>
  </si>
  <si>
    <t>PRATEEK TRADERS</t>
  </si>
  <si>
    <t>PANIPAT</t>
  </si>
  <si>
    <t>001J100000RyDBkIAN</t>
  </si>
  <si>
    <t>BAHALGARH STEEL UDYOG</t>
  </si>
  <si>
    <t>001J1000007opyJIAQ</t>
  </si>
  <si>
    <t>CITY BUILDER</t>
  </si>
  <si>
    <t>001J100000JruCNIAZ</t>
  </si>
  <si>
    <t>LALIT IRON STORE</t>
  </si>
  <si>
    <t>001J1000009FTYMIA4</t>
  </si>
  <si>
    <t>NIKHIL BUILDING MATERIAL SUPPLIER &amp; TIMBER STORE</t>
  </si>
  <si>
    <t>0015g00001guoeRAAQ</t>
  </si>
  <si>
    <t>WORLD DEVELOPERS &amp; BUILDERS</t>
  </si>
  <si>
    <t>PANCHKULA</t>
  </si>
  <si>
    <t>0015g00001YRScvAAH</t>
  </si>
  <si>
    <t>KAMYA STEELS PRIVATE LIMITED</t>
  </si>
  <si>
    <t>0015g00001cajQSAAY</t>
  </si>
  <si>
    <t>SHREE BALAJI IRON STORE</t>
  </si>
  <si>
    <t>0015g00001VBoaFAAT</t>
  </si>
  <si>
    <t>M/S BHARAT TRADING CO</t>
  </si>
  <si>
    <t>001fw00000A56tkAAB</t>
  </si>
  <si>
    <t>SHRI SHYAM ENTERPRISES</t>
  </si>
  <si>
    <t>0015g00001W2yXyAAJ</t>
  </si>
  <si>
    <t>GUPTA TRADING CO.</t>
  </si>
  <si>
    <t>0015g00001V9TglAAF</t>
  </si>
  <si>
    <t>001J100000S1fPBIAZ</t>
  </si>
  <si>
    <t>M/S NEETA ENTERPRISE</t>
  </si>
  <si>
    <t>001J100000EpBvjIAF</t>
  </si>
  <si>
    <t>BABA STEEL</t>
  </si>
  <si>
    <t>HISAR</t>
  </si>
  <si>
    <t>0015g00001V9ThqAAF</t>
  </si>
  <si>
    <t>NAVEEN TRADING COMPANY</t>
  </si>
  <si>
    <t>001J100000VncyvIAB</t>
  </si>
  <si>
    <t>A.K. KHOKHAR TRADING COMPANY</t>
  </si>
  <si>
    <t>001J1000002mNAxIAM</t>
  </si>
  <si>
    <t>PREETI TRADELINK PRIVATE LIMITED</t>
  </si>
  <si>
    <t>FARIDABAD</t>
  </si>
  <si>
    <t>0015g00001UBHjbAAH</t>
  </si>
  <si>
    <t>Yadav Iron Store</t>
  </si>
  <si>
    <t>REWARI</t>
  </si>
  <si>
    <t>0015g00001UBHaiAAH</t>
  </si>
  <si>
    <t>SHARMA STEELS AND PIPES</t>
  </si>
  <si>
    <t>001J1000003ll8FIAQ</t>
  </si>
  <si>
    <t>DELHI STEEL</t>
  </si>
  <si>
    <t>001J100000VlZTtIAN</t>
  </si>
  <si>
    <t>KHANDELWAL STEELS</t>
  </si>
  <si>
    <t>GURUGRAM</t>
  </si>
  <si>
    <t>0015g00001UBHaFAAX</t>
  </si>
  <si>
    <t>DELHI  STEEL  &amp;  CEMENT</t>
  </si>
  <si>
    <t>0015g00001VCA6uAAH</t>
  </si>
  <si>
    <t>KRISHNA STEELS</t>
  </si>
  <si>
    <t>0015g00001UBHaJAAX</t>
  </si>
  <si>
    <t>0015g00001UBHaMAAX</t>
  </si>
  <si>
    <t>AKSHAY UDYOG</t>
  </si>
  <si>
    <t>0015g00001UBHaVAAX</t>
  </si>
  <si>
    <t>STEEL BAZAAR</t>
  </si>
  <si>
    <t>0015g00001X2hUaAAJ</t>
  </si>
  <si>
    <t>CHOPRA ENTERPRISES</t>
  </si>
  <si>
    <t>0015g00001UBHaTAAX</t>
  </si>
  <si>
    <t>PROMPT</t>
  </si>
  <si>
    <t>0015g00001XcBNEAA3</t>
  </si>
  <si>
    <t>OM TRADERS</t>
  </si>
  <si>
    <t>001J100000F4iiqIAB</t>
  </si>
  <si>
    <t>PUSHPA CONSTRUCTION COMPANY</t>
  </si>
  <si>
    <t>001J100000JM6xzIAD</t>
  </si>
  <si>
    <t>SHUBHAM TRADING CO</t>
  </si>
  <si>
    <t>001J100000TtFXnIAN</t>
  </si>
  <si>
    <t>R. S. BUILDING MATERIAL</t>
  </si>
  <si>
    <t>SIRSA</t>
  </si>
  <si>
    <t>0015g00001dFjdAAAS</t>
  </si>
  <si>
    <t>DEEP CHAND &amp; SONS</t>
  </si>
  <si>
    <t>001fw00000F29L9AAJ</t>
  </si>
  <si>
    <t>M.R. TRADERS</t>
  </si>
  <si>
    <t>FATEHABAD</t>
  </si>
  <si>
    <t>0015g00001YQ2PaAAL</t>
  </si>
  <si>
    <t>OM PARKASH LAJPAT RAI (OMI LOHIA)</t>
  </si>
  <si>
    <t>JIND</t>
  </si>
  <si>
    <t>0015g00001ge8xOAAQ</t>
  </si>
  <si>
    <t>SHREE SALASAR TRADING CO</t>
  </si>
  <si>
    <t>001J1000005ZscxIAC</t>
  </si>
  <si>
    <t>SHREE SHYAM TRADING CO.</t>
  </si>
  <si>
    <t>BHIWANI</t>
  </si>
  <si>
    <t>0015g00001Y5BXMAA3</t>
  </si>
  <si>
    <t>AGGARWAL CEMENT AND BUILDING MATERIAL</t>
  </si>
  <si>
    <t>0015g00001RKokNAAT</t>
  </si>
  <si>
    <t>BANARSI DASS JAI BHAGWAN</t>
  </si>
  <si>
    <t>001J100000RyGCMIA3</t>
  </si>
  <si>
    <t>CHOUDHARY CEMENT STORE</t>
  </si>
  <si>
    <t>001fw00000J2QJdAAN</t>
  </si>
  <si>
    <t>RAMA NAND OM PARKASH</t>
  </si>
  <si>
    <t>CHARKI DADRI</t>
  </si>
  <si>
    <t>001J100000RU7ygIAD</t>
  </si>
  <si>
    <t>GANPATI STEELS</t>
  </si>
  <si>
    <t>001J100000VnnYIIAZ</t>
  </si>
  <si>
    <t>KHATU SHYAM ENTERPRISES</t>
  </si>
  <si>
    <t>001J1000007o9Z6IAI</t>
  </si>
  <si>
    <t>DHARAMVIR TIMBER &amp; STEEL TRADERS</t>
  </si>
  <si>
    <t>0015g00001W4YfTAAV</t>
  </si>
  <si>
    <t>SURESH MITTAL &amp; SONS</t>
  </si>
  <si>
    <t>AMBALA</t>
  </si>
  <si>
    <t>0015g00001VCBRvAAP</t>
  </si>
  <si>
    <t>SHIVA TRADING</t>
  </si>
  <si>
    <t>001J100000S1Y9OIAV</t>
  </si>
  <si>
    <t>JYOTI PARSAD SUBHASH CHAND</t>
  </si>
  <si>
    <t>KAITHAL</t>
  </si>
  <si>
    <t>0015g00001X2P8zAAF</t>
  </si>
  <si>
    <t>SAINI CEMENT AND BUILDING MATERIAL</t>
  </si>
  <si>
    <t>001J100000Vm4JaIAJ</t>
  </si>
  <si>
    <t>SHIV SHAKTI TRADERS</t>
  </si>
  <si>
    <t>0015g00001eBlXpAAK</t>
  </si>
  <si>
    <t>JAIN STEELS</t>
  </si>
  <si>
    <t>YAMUNANAGAR</t>
  </si>
  <si>
    <t>0015g00001fUOLdAAO</t>
  </si>
  <si>
    <t>BHAGWATI CEMENT STORE</t>
  </si>
  <si>
    <t>KARNAL</t>
  </si>
  <si>
    <t>001J100000CMm7xIAD</t>
  </si>
  <si>
    <t>SHREE BALA JI SANITARY STORE</t>
  </si>
  <si>
    <t>KURUKSHETRA</t>
  </si>
  <si>
    <t>0015g00001e8SJnAAM</t>
  </si>
  <si>
    <t>SHREE SHIV SHAKTI SALES</t>
  </si>
  <si>
    <t>001fw00000HVzrsAAD</t>
  </si>
  <si>
    <t>M/S SAKSHAM CORPORATE GROUP</t>
  </si>
  <si>
    <t>001fw00000KgNrFAAV</t>
  </si>
  <si>
    <t>GANPAT RAI &amp; SONS</t>
  </si>
  <si>
    <t>0015g00001UBHjkAAH</t>
  </si>
  <si>
    <t>NAVEEN KUMAR PARDEEP KUMAR</t>
  </si>
  <si>
    <t>0015g00001f8D8AAAU</t>
  </si>
  <si>
    <t>SHREE SHYAM JEE BUILDING MATERIAL STORE</t>
  </si>
  <si>
    <t>0015g00001UBHjgAAH</t>
  </si>
  <si>
    <t>GUPTA BROS &amp; CO.</t>
  </si>
  <si>
    <t>001J1000003nKcbIAE</t>
  </si>
  <si>
    <t>SHREE STEEL TRADERS</t>
  </si>
  <si>
    <t>SOLAN</t>
  </si>
  <si>
    <t>0015g00001dIDhzAAG</t>
  </si>
  <si>
    <t>SHARMA CEMENT STORE</t>
  </si>
  <si>
    <t>SAMBA</t>
  </si>
  <si>
    <t>001J1000003nJbWIAU</t>
  </si>
  <si>
    <t>SOE CONSTRUCTION COMPANY</t>
  </si>
  <si>
    <t>JAMMU</t>
  </si>
  <si>
    <t>001fw00000BRAY7AAP</t>
  </si>
  <si>
    <t>DARSHIL ENTERPRISES</t>
  </si>
  <si>
    <t>GWALIOR</t>
  </si>
  <si>
    <t>001fw000007uD9pAAE</t>
  </si>
  <si>
    <t>M/S B. M. ENTER PRISES</t>
  </si>
  <si>
    <t>MORENA</t>
  </si>
  <si>
    <t>001fw000008L4ldAAC</t>
  </si>
  <si>
    <t>VINAY STEELS</t>
  </si>
  <si>
    <t>001fw00000CrOWlAAN</t>
  </si>
  <si>
    <t>M/S.VIJAY STEELS</t>
  </si>
  <si>
    <t>Madhya Pradesh</t>
  </si>
  <si>
    <t>Ashoknagar</t>
  </si>
  <si>
    <t>0015g00001Y58dXAAR</t>
  </si>
  <si>
    <t>AS Enterprises</t>
  </si>
  <si>
    <t>001fw00000FEAGdAAP</t>
  </si>
  <si>
    <t>ANJALI TRADING COMPANY</t>
  </si>
  <si>
    <t>001fw00000KUJBVAA5</t>
  </si>
  <si>
    <t>KRISHNA INDUSTRIES</t>
  </si>
  <si>
    <t>GUNA</t>
  </si>
  <si>
    <t>001fw00000KS1yaAAD</t>
  </si>
  <si>
    <t>ONX ASSOCIATES</t>
  </si>
  <si>
    <t>001fw00000KSFrqAAH</t>
  </si>
  <si>
    <t>SLMG BEVERAGES PRIVATE LIMITED</t>
  </si>
  <si>
    <t>001fw00000HzdkDAAR</t>
  </si>
  <si>
    <t>M/S. RAM DAYAL AGRAWAL IRON MERCHANT</t>
  </si>
  <si>
    <t>DATIA</t>
  </si>
  <si>
    <t>001J1000002k0ppIAA</t>
  </si>
  <si>
    <t>GUPTA IRON STORE</t>
  </si>
  <si>
    <t>PATHANKOT</t>
  </si>
  <si>
    <t>001J100000LnCV6IAN</t>
  </si>
  <si>
    <t>Parkash Steels</t>
  </si>
  <si>
    <t>AMRITSAR</t>
  </si>
  <si>
    <t>001J1000006VRZuIAO</t>
  </si>
  <si>
    <t>BABA TRADERS</t>
  </si>
  <si>
    <t>S.A.S Nagar</t>
  </si>
  <si>
    <t>001J1000003mSUZIA2</t>
  </si>
  <si>
    <t>BITLA STEEL SALES CORPORATION</t>
  </si>
  <si>
    <t>LUDHIANA</t>
  </si>
  <si>
    <t>001J1000003mTeuIAE</t>
  </si>
  <si>
    <t>GURU NANAK IRON &amp; HARD WARE STORE</t>
  </si>
  <si>
    <t>001J100000EpBAKIA3</t>
  </si>
  <si>
    <t>PUNJAB IRON &amp; CEMENT STORE</t>
  </si>
  <si>
    <t>001J100000Vl1ymIAB</t>
  </si>
  <si>
    <t>CHIRAG STEEL ENTERPRISES</t>
  </si>
  <si>
    <t>FATEHGARH SAHIB</t>
  </si>
  <si>
    <t>001J1000003mJPGIA2</t>
  </si>
  <si>
    <t>PABBI SALES</t>
  </si>
  <si>
    <t>001J1000002jzaJIAQ</t>
  </si>
  <si>
    <t>RIDDHI ENTERPRISES</t>
  </si>
  <si>
    <t>PATIALA</t>
  </si>
  <si>
    <t>0015g00001gvKYEAA2</t>
  </si>
  <si>
    <t>SHYAM STEELS</t>
  </si>
  <si>
    <t>BARNALA</t>
  </si>
  <si>
    <t>0015g00001f9COMAA2</t>
  </si>
  <si>
    <t>SAT PAUL SOOD &amp; SONS.</t>
  </si>
  <si>
    <t>001J100000RyrlxIAB</t>
  </si>
  <si>
    <t>KESHAV TRADING CO.</t>
  </si>
  <si>
    <t>SANGRUR</t>
  </si>
  <si>
    <t>001fw00000KHNPjAAP</t>
  </si>
  <si>
    <t>HAKAM SINGH &amp; CO.</t>
  </si>
  <si>
    <t>BATHINDA</t>
  </si>
  <si>
    <t>0015g00001cbFaYAAU</t>
  </si>
  <si>
    <t>0015g00001UBHa3AAH</t>
  </si>
  <si>
    <t>KHANDELWAL STEEL</t>
  </si>
  <si>
    <t>JAIPUR</t>
  </si>
  <si>
    <t>0015g00001gv91iAAA</t>
  </si>
  <si>
    <t>MEWAR STEEL</t>
  </si>
  <si>
    <t>CHITTORGARH</t>
  </si>
  <si>
    <t>0015g00001c4PuPAAU</t>
  </si>
  <si>
    <t>RAJASTHAN COMMERCIAL CORPORATION</t>
  </si>
  <si>
    <t>BHILWARA</t>
  </si>
  <si>
    <t>001J1000007no3KIAQ</t>
  </si>
  <si>
    <t>SANWARIYA IRON STORE</t>
  </si>
  <si>
    <t>001J1000002itoeIAA</t>
  </si>
  <si>
    <t>BHARAT TRADERS</t>
  </si>
  <si>
    <t>UDAIPUR</t>
  </si>
  <si>
    <t>001J1000002ivMTIAY</t>
  </si>
  <si>
    <t>PARASRAJ INDUSTRIES</t>
  </si>
  <si>
    <t>0015g00000cP95bAAC</t>
  </si>
  <si>
    <t>BANDOOKWALA ISPAT PRIVATE LIMITED</t>
  </si>
  <si>
    <t>0015g00001dYcDHAA0</t>
  </si>
  <si>
    <t>DIPESH STEEL AND BUILDING MATERIAL</t>
  </si>
  <si>
    <t>001fw00000442SSAAY</t>
  </si>
  <si>
    <t>GANESHAAY METALS</t>
  </si>
  <si>
    <t>RAJSAMAND</t>
  </si>
  <si>
    <t>001J100000PHvk5IAD</t>
  </si>
  <si>
    <t>STEEL POINT</t>
  </si>
  <si>
    <t>BANSWARA</t>
  </si>
  <si>
    <t>001J100000JrJwqIAF</t>
  </si>
  <si>
    <t>JP STEEL TUBES &amp; PIPES PRIVATE LIMITED</t>
  </si>
  <si>
    <t>001J100000JrSC0IAN</t>
  </si>
  <si>
    <t>JINDAL STEEL &amp; INFRA LINES</t>
  </si>
  <si>
    <t>001J1000002iuY9IAI</t>
  </si>
  <si>
    <t>MAYANK TRADERS</t>
  </si>
  <si>
    <t>001J1000005ZqvLIAS</t>
  </si>
  <si>
    <t>J P STEEL CO</t>
  </si>
  <si>
    <t>001J1000007nr5tIAA</t>
  </si>
  <si>
    <t>KASUBHAIWALA STEELS</t>
  </si>
  <si>
    <t>001J1000009HD3lIAG</t>
  </si>
  <si>
    <t>RAJ STEEL</t>
  </si>
  <si>
    <t>DUNGARPUR</t>
  </si>
  <si>
    <t>001fw00000MsUnfAAF</t>
  </si>
  <si>
    <t>BHARAT STEEL TRADERS</t>
  </si>
  <si>
    <t>0015g00001da95vAAA</t>
  </si>
  <si>
    <t>ANJALI TRADERS</t>
  </si>
  <si>
    <t>001fw00000KvE4NAAV</t>
  </si>
  <si>
    <t>TRADE LINK</t>
  </si>
  <si>
    <t>KOTA</t>
  </si>
  <si>
    <t>001fw00000KN6lyAAD</t>
  </si>
  <si>
    <t>RATHI ISPAT</t>
  </si>
  <si>
    <t>0015g00001f9BXpAAM</t>
  </si>
  <si>
    <t>SHAKTI STEELS</t>
  </si>
  <si>
    <t>JODHPUR</t>
  </si>
  <si>
    <t>001J100000BadzzIAB</t>
  </si>
  <si>
    <t>HINGLAJ IRON STORE</t>
  </si>
  <si>
    <t>BARMER</t>
  </si>
  <si>
    <t>0015g00001f8ua5AAA</t>
  </si>
  <si>
    <t>ROOP STEEL TRADING COMPANY</t>
  </si>
  <si>
    <t>0015g00001f8tNYAAY</t>
  </si>
  <si>
    <t>KABRA IRON AGENCIES</t>
  </si>
  <si>
    <t>0015g00001f8XA2AAM</t>
  </si>
  <si>
    <t>AARTI STEEL</t>
  </si>
  <si>
    <t>001J100000TuLNmIAN</t>
  </si>
  <si>
    <t>JMB &amp; CO.</t>
  </si>
  <si>
    <t>JAISALMER</t>
  </si>
  <si>
    <t>001J100000RTdgwIAD</t>
  </si>
  <si>
    <t>BALAJI IRON TRADERS</t>
  </si>
  <si>
    <t>001J100000RxssnIAB</t>
  </si>
  <si>
    <t>ROYAL STEEL</t>
  </si>
  <si>
    <t>001J100000S0iyoIAB</t>
  </si>
  <si>
    <t>RAJASTHAN STEELS</t>
  </si>
  <si>
    <t>0015g00001gvGkDAAU</t>
  </si>
  <si>
    <t>SANJAY CEMENT AGENCY</t>
  </si>
  <si>
    <t>001J1000002jaoZIAQ</t>
  </si>
  <si>
    <t>JAI OM STEELS</t>
  </si>
  <si>
    <t>SIROHI</t>
  </si>
  <si>
    <t>001J1000002jQNfIAM</t>
  </si>
  <si>
    <t>PUKHRAJ RAM NARAYAN &amp; CO.</t>
  </si>
  <si>
    <t>PALI</t>
  </si>
  <si>
    <t>0015g00001fx5hlAAA</t>
  </si>
  <si>
    <t>GIRIRAJ STEELS</t>
  </si>
  <si>
    <t>0015g00001c464aAAA</t>
  </si>
  <si>
    <t>B M AGARWAL TRADING PRIVATE LIMITED</t>
  </si>
  <si>
    <t>0015g00001fuwB1AAI</t>
  </si>
  <si>
    <t>JAI ASHAPURA LOHA UDHYOG</t>
  </si>
  <si>
    <t>0015g00001geGaJAAU</t>
  </si>
  <si>
    <t>SHREE SUMER SAGAR STEEL</t>
  </si>
  <si>
    <t>AJMER</t>
  </si>
  <si>
    <t>001J1000003jf8MIAQ</t>
  </si>
  <si>
    <t>R B TRADERS</t>
  </si>
  <si>
    <t>GANGANAGAR</t>
  </si>
  <si>
    <t>0015g00001c4QhrAAE</t>
  </si>
  <si>
    <t>RAJ STEELS</t>
  </si>
  <si>
    <t>NAGAUR</t>
  </si>
  <si>
    <t>0015g00001fvBkyAAE</t>
  </si>
  <si>
    <t>LAXMI STEEL</t>
  </si>
  <si>
    <t>0015g00001guX6RAAU</t>
  </si>
  <si>
    <t>SHRI HARI TRADING COMPANY</t>
  </si>
  <si>
    <t>BIKANER</t>
  </si>
  <si>
    <t>0015g00001X3AskAAF</t>
  </si>
  <si>
    <t>H.K. ALLOYS</t>
  </si>
  <si>
    <t>001fw00000IB5zhAAD</t>
  </si>
  <si>
    <t>HARJAMNA STEELS</t>
  </si>
  <si>
    <t>ALWAR</t>
  </si>
  <si>
    <t>001J100000JtAlkIAF</t>
  </si>
  <si>
    <t>MAA LAHAKOD TRADING COMPANY</t>
  </si>
  <si>
    <t>KARAULI</t>
  </si>
  <si>
    <t>001fw00000IQJkcAAH</t>
  </si>
  <si>
    <t>AASTHA TRADER</t>
  </si>
  <si>
    <t>001fw00000Ln5wwAAB</t>
  </si>
  <si>
    <t>AMBICA TRADERS</t>
  </si>
  <si>
    <t>001fw00000AKLfMAAX</t>
  </si>
  <si>
    <t>TIRUPATI STEELS</t>
  </si>
  <si>
    <t>0015g00001W4TWFAA3</t>
  </si>
  <si>
    <t>JAI DURGA IRON &amp; STEEL COMPANY</t>
  </si>
  <si>
    <t>MATHURA</t>
  </si>
  <si>
    <t>0015g00001Y3x1EAAR</t>
  </si>
  <si>
    <t>M/S MEENA STEELS</t>
  </si>
  <si>
    <t>AGRA</t>
  </si>
  <si>
    <t>001J1000002jX2GIAU</t>
  </si>
  <si>
    <t>M/S SANDEEP &amp; COMPANY</t>
  </si>
  <si>
    <t>FIROZABAD</t>
  </si>
  <si>
    <t>0015g00001Y4TWUAA3</t>
  </si>
  <si>
    <t>MAHENDRA IRON STORE</t>
  </si>
  <si>
    <t>HATHRAS</t>
  </si>
  <si>
    <t>0015g00001f8YwyAAE</t>
  </si>
  <si>
    <t>M/S SAI GOYAL TRADING COMPANY</t>
  </si>
  <si>
    <t>ALIGARH</t>
  </si>
  <si>
    <t>0015g00001f8tsMAAQ</t>
  </si>
  <si>
    <t>SHANTI TRADERS</t>
  </si>
  <si>
    <t>0015g00001f8c5UAAQ</t>
  </si>
  <si>
    <t>M/S LAXMI STEELS</t>
  </si>
  <si>
    <t>0015g00001XKKMAAA5</t>
  </si>
  <si>
    <t>CHHITAR MAL PURUSHOTTAM DAS</t>
  </si>
  <si>
    <t>001J100000Vm7LjIAJ</t>
  </si>
  <si>
    <t>M/S SINGHAL ENTERPRISES</t>
  </si>
  <si>
    <t>001J1000006V9I2IAK</t>
  </si>
  <si>
    <t>RAKESH BUILDING MATERIAL</t>
  </si>
  <si>
    <t>0015g00001dHdPPAA0</t>
  </si>
  <si>
    <t>M/S ARVIND TRADERS</t>
  </si>
  <si>
    <t>001J100000VnTshIAF</t>
  </si>
  <si>
    <t>M/S BANSAL STEELS</t>
  </si>
  <si>
    <t>001fw000004aB4HAAU</t>
  </si>
  <si>
    <t>M/S OM TRADING COMPANY</t>
  </si>
  <si>
    <t>DEORIA</t>
  </si>
  <si>
    <t>001J100000TsJTNIA3</t>
  </si>
  <si>
    <t>M/S SAMIKSHA AND SIDDHI ENTERPRISES</t>
  </si>
  <si>
    <t>MAHARAJGANJ</t>
  </si>
  <si>
    <t>001fw0000023v0cAAA</t>
  </si>
  <si>
    <t>SHRI SHYAM STEEL COMPANY</t>
  </si>
  <si>
    <t>SIDDHARTH NAGAR</t>
  </si>
  <si>
    <t>001J100000Rz6n6IAB</t>
  </si>
  <si>
    <t>M/S  MAHAVEER ENTERPRISES</t>
  </si>
  <si>
    <t>001J100000Vnm0iIAB</t>
  </si>
  <si>
    <t>M/S JAISWAL STEEL CORPORATION</t>
  </si>
  <si>
    <t>GORAKHPUR</t>
  </si>
  <si>
    <t>0015g00001V9TjEAAV</t>
  </si>
  <si>
    <t>Shree Ambay Traders</t>
  </si>
  <si>
    <t>0015g00001V9Tj9AAF</t>
  </si>
  <si>
    <t>M/S  GOVIND STEEL TRADERS</t>
  </si>
  <si>
    <t>001fw00000EOsdYAAT</t>
  </si>
  <si>
    <t>RS BUILDING MATERIALS</t>
  </si>
  <si>
    <t>001J100000TuCVlIAN</t>
  </si>
  <si>
    <t>MISHRA BUILDING SOLUTIONS</t>
  </si>
  <si>
    <t>VARANASI</t>
  </si>
  <si>
    <t>001J100000BdFHtIAN</t>
  </si>
  <si>
    <t>M/S SHIR AMBEY TRADERS</t>
  </si>
  <si>
    <t>001fw000001q0xpAAA</t>
  </si>
  <si>
    <t>001J100000Vo9dAIAR</t>
  </si>
  <si>
    <t>KHANDELWAL METAL INDUSTRIES INDIA PVT. LTD.</t>
  </si>
  <si>
    <t>BAREILLY</t>
  </si>
  <si>
    <t>001fw00000FJfjbAAD</t>
  </si>
  <si>
    <t>RAJEEV TRADERS</t>
  </si>
  <si>
    <t>0015g00001XK1qJAAT</t>
  </si>
  <si>
    <t>M/S NAVEEN TRADERS</t>
  </si>
  <si>
    <t>0015g00001YOPTWAA5</t>
  </si>
  <si>
    <t>SHAILSHREE METALS</t>
  </si>
  <si>
    <t>001fw00000L1b35AAB</t>
  </si>
  <si>
    <t>M/S  KAVYA TRADERS</t>
  </si>
  <si>
    <t>001fw00000KBuWQAA1</t>
  </si>
  <si>
    <t>SATYA NARAIN HARI KRISHAN &amp; CO.</t>
  </si>
  <si>
    <t>0015g00001XcFeLAAV</t>
  </si>
  <si>
    <t>M/S NIRMAL LOHA UDHYOG</t>
  </si>
  <si>
    <t>PILIBHIT</t>
  </si>
  <si>
    <t>001J100000VnUYOIA3</t>
  </si>
  <si>
    <t>PROFICIENT INDIA &amp; CO.</t>
  </si>
  <si>
    <t>GHAZIABAD</t>
  </si>
  <si>
    <t>001J100000VlTsDIAV</t>
  </si>
  <si>
    <t>KESHAV STEELS</t>
  </si>
  <si>
    <t>001J100000DqPBgIAN</t>
  </si>
  <si>
    <t>SHREE BALAJI ENTERPRISES</t>
  </si>
  <si>
    <t>SHAMLI</t>
  </si>
  <si>
    <t>001J100000VlGMhIAN</t>
  </si>
  <si>
    <t>PRATHAM STEELS</t>
  </si>
  <si>
    <t>GAUTAM BUDDHA NAGAR</t>
  </si>
  <si>
    <t>001fw000001QzQhAAK</t>
  </si>
  <si>
    <t>0015g00001TDCVRAA5</t>
  </si>
  <si>
    <t>NARENDRA STEELS</t>
  </si>
  <si>
    <t>0015g00001FhMmfAAF</t>
  </si>
  <si>
    <t>SURYA STEELS</t>
  </si>
  <si>
    <t>001J100000TrRgTIAV</t>
  </si>
  <si>
    <t>S K ISPAT</t>
  </si>
  <si>
    <t>001fw000006wnmWAAQ</t>
  </si>
  <si>
    <t>M/S  JAI HANUMAN STEELS AND BUILDCON</t>
  </si>
  <si>
    <t>MUZAFFARNAGAR</t>
  </si>
  <si>
    <t>001J100000Qn99wIAB</t>
  </si>
  <si>
    <t>Shyama Construction</t>
  </si>
  <si>
    <t>001fw00000Mlvz5AAB</t>
  </si>
  <si>
    <t>D R STEELS &amp; ENTERPRISES</t>
  </si>
  <si>
    <t>001fw00000NFLjfAAH</t>
  </si>
  <si>
    <t>NIRMLA STEEL TRADERS</t>
  </si>
  <si>
    <t>JAUNPUR</t>
  </si>
  <si>
    <t>0015g00001TEQEcAAP</t>
  </si>
  <si>
    <t>M/S KRISHNA STEELS</t>
  </si>
  <si>
    <t>0015g00001X375AAAR</t>
  </si>
  <si>
    <t>TRIVENI STEELS</t>
  </si>
  <si>
    <t>0015g00001HNAwGAAX</t>
  </si>
  <si>
    <t>BANKEY BIHARI CONTRACTOR &amp; SUPPLIER'S</t>
  </si>
  <si>
    <t>SAMBHAL</t>
  </si>
  <si>
    <t>0015g00001V9SR4AAN</t>
  </si>
  <si>
    <t>M/S PURVANCHAL TRADERS</t>
  </si>
  <si>
    <t>AZAMGARH</t>
  </si>
  <si>
    <t>001fw00000E2I7GAAV</t>
  </si>
  <si>
    <t>M/S KRISHNA SALES AND CONTRACTOR</t>
  </si>
  <si>
    <t>0015g00001c44kkAAA</t>
  </si>
  <si>
    <t>M/S SHASHI TRADING COMPANY</t>
  </si>
  <si>
    <t>0015g00001W4hmWAAR</t>
  </si>
  <si>
    <t>JAI MAA DURGA BUILDING MATERIAL</t>
  </si>
  <si>
    <t>0015g00001UBHbSAAX</t>
  </si>
  <si>
    <t>KVA Trading Company</t>
  </si>
  <si>
    <t>0015g00001V9SNmAAN</t>
  </si>
  <si>
    <t>M/S TANEJA IRON SYNDICATE</t>
  </si>
  <si>
    <t>0015g00001W31YrAAJ</t>
  </si>
  <si>
    <t>M/S SHIV IRON STORE</t>
  </si>
  <si>
    <t>0015g00001cdRBQAA2</t>
  </si>
  <si>
    <t>M/S JAI ENTERPRISES</t>
  </si>
  <si>
    <t>HAPUR</t>
  </si>
  <si>
    <t>001J1000002kROCIA2</t>
  </si>
  <si>
    <t>SOM STEELS PRIVATE LIMITED</t>
  </si>
  <si>
    <t>001fw000008LeE1AAK</t>
  </si>
  <si>
    <t>MANU ENTERPRISES</t>
  </si>
  <si>
    <t>LUCKNOW</t>
  </si>
  <si>
    <t>001fw00000J9KxRAAV</t>
  </si>
  <si>
    <t>M/S RAJAT ENTERPRISES</t>
  </si>
  <si>
    <t>0015g00001VBCw9AAH</t>
  </si>
  <si>
    <t>VED ENTERPRISES</t>
  </si>
  <si>
    <t>0015g00001dXNAzAAO</t>
  </si>
  <si>
    <t>INDIA STEEL SALES</t>
  </si>
  <si>
    <t>0015g00001dIETaAAO</t>
  </si>
  <si>
    <t>M/S SHIVA STEELS</t>
  </si>
  <si>
    <t>Uttar Pradesh</t>
  </si>
  <si>
    <t>Lucknow</t>
  </si>
  <si>
    <t>0015g00001eAXqQAAW</t>
  </si>
  <si>
    <t>M/S TARA CHAND STEELS</t>
  </si>
  <si>
    <t>0015g00001XZfqeAAD</t>
  </si>
  <si>
    <t>M/S VARDHMAN STEEL INDUSTRIES</t>
  </si>
  <si>
    <t>JHANSI</t>
  </si>
  <si>
    <t>0015g00001YR0GbAAL</t>
  </si>
  <si>
    <t>M/S A M ENTERPRISES</t>
  </si>
  <si>
    <t>RAE BARELI</t>
  </si>
  <si>
    <t>0015g00001dWeTkAAK</t>
  </si>
  <si>
    <t>M/S SANGAM STEEL</t>
  </si>
  <si>
    <t>LALITPUR</t>
  </si>
  <si>
    <t>0015g00001XanN4AAJ</t>
  </si>
  <si>
    <t>M/S VAISHNAVI TRADING CORPORATION</t>
  </si>
  <si>
    <t>0015g00001UBHlJAAX</t>
  </si>
  <si>
    <t>RAJ NARAIN SALES CORPN</t>
  </si>
  <si>
    <t>ETAWAH</t>
  </si>
  <si>
    <t>001J100000VnGTbIAN</t>
  </si>
  <si>
    <t>ANKIT BUILDTECH CONSTRUCTION PRIVATE LIMITED</t>
  </si>
  <si>
    <t>001J100000S1FdAIAV</t>
  </si>
  <si>
    <t>M/S  ANAND SALES CORPORATION</t>
  </si>
  <si>
    <t>KANPUR NAGAR</t>
  </si>
  <si>
    <t>0015g00001XaofuAAB</t>
  </si>
  <si>
    <t>M/S PYARE LAL AND COMPANY</t>
  </si>
  <si>
    <t>NAINITAL</t>
  </si>
  <si>
    <t>001J100000VldPaIAJ</t>
  </si>
  <si>
    <t>M/S AGRAWAL IRON STORE</t>
  </si>
  <si>
    <t>UDAM SINGH NAGAR</t>
  </si>
  <si>
    <t>0015g00001bbefqAAA</t>
  </si>
  <si>
    <t>001J1000002j05jIAA</t>
  </si>
  <si>
    <t>Lead - 9412054577</t>
  </si>
  <si>
    <t>DEHRADUN</t>
  </si>
  <si>
    <t>001J1000009GVhuIAG</t>
  </si>
  <si>
    <t>M/S GARG STEEL CENTER</t>
  </si>
  <si>
    <t>0015g00001UBHltAAH</t>
  </si>
  <si>
    <t>M/S TARUN TRADERS</t>
  </si>
  <si>
    <t>0015g00001W2w7FAAR</t>
  </si>
  <si>
    <t>M/S BHAGWATI IRON STORE</t>
  </si>
  <si>
    <t>001fw00000JILFzAAP</t>
  </si>
  <si>
    <t>B.SARAN &amp; COMPANY</t>
  </si>
  <si>
    <t>PITHORAGARH</t>
  </si>
  <si>
    <t>0015g00001gv4pdAAA</t>
  </si>
  <si>
    <t>M/S SHRI GANPATI STEELS</t>
  </si>
  <si>
    <t>0015g00001dJptUAAS</t>
  </si>
  <si>
    <t>M/S AGARWAL STEEL</t>
  </si>
  <si>
    <t>HARIDWAR</t>
  </si>
  <si>
    <t>0015g00001ZSuotAAD</t>
  </si>
  <si>
    <t>Rahul trading Company</t>
  </si>
  <si>
    <t>Points</t>
  </si>
  <si>
    <t>Gift value (INR)</t>
  </si>
  <si>
    <t>New Gift</t>
  </si>
  <si>
    <t>Sony - sound bar woofer and speakers</t>
  </si>
  <si>
    <t>Amazon Voucher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</si>
</sst>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_);_(* \(#,##0\);_(* &quot;-&quot;??_);_(@_)"/>
    <numFmt numFmtId="165" formatCode="0.0%"/>
  </numFmts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</font>
    <font>
      <sz val="11"/>
      <color rgb="FF000000"/>
      <name val="Calibri"/>
    </font>
    <font>
      <sz val="11"/>
      <color theme="1"/>
      <name val="Calibri"/>
    </font>
    <font>
      <b/>
      <sz val="11"/>
      <color theme="1"/>
      <name val="Calibri"/>
    </font>
    <font>
      <b/>
      <sz val="14"/>
      <color rgb="FFFFFFFF"/>
      <name val="Calibri"/>
    </font>
    <font>
      <b/>
      <sz val="12"/>
      <color rgb="FFFFFFFF"/>
      <name val="Calibri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4472C4"/>
        <bgColor indexed="64"/>
      </patternFill>
    </fill>
    <fill>
      <patternFill patternType="solid">
        <fgColor rgb="FF2F5496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vertical="center"/>
    </xf>
    <xf numFmtId="164" fontId="3" fillId="4" borderId="1" xfId="0" applyNumberFormat="1" applyFont="1" applyFill="1" applyBorder="1" applyAlignment="1">
      <alignment horizontal="right" vertical="center"/>
    </xf>
    <xf numFmtId="164" fontId="3" fillId="4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horizontal="center" vertical="center"/>
    </xf>
    <xf numFmtId="164" fontId="0" fillId="0" borderId="1" xfId="0" applyNumberFormat="1" applyBorder="1" applyAlignment="1">
      <alignment horizontal="right" vertical="center"/>
    </xf>
    <xf numFmtId="164" fontId="0" fillId="0" borderId="1" xfId="0" applyNumberFormat="1" applyBorder="1" applyAlignment="1">
      <alignment vertical="center"/>
    </xf>
    <xf numFmtId="0" fontId="4" fillId="0" borderId="0" xfId="0" applyFont="1" applyAlignment="1">
      <alignment horizontal="center"/>
    </xf>
    <xf numFmtId="0" fontId="5" fillId="2" borderId="0" xfId="0" applyFont="1" applyFill="1" applyAlignment="1">
      <alignment horizontal="center" vertical="center"/>
    </xf>
    <xf numFmtId="0" fontId="5" fillId="7" borderId="0" xfId="0" applyFont="1" applyFill="1" applyAlignment="1">
      <alignment horizontal="center"/>
    </xf>
    <xf numFmtId="3" fontId="4" fillId="0" borderId="0" xfId="0" applyNumberFormat="1" applyFont="1" applyAlignment="1">
      <alignment horizontal="center"/>
    </xf>
    <xf numFmtId="165" fontId="4" fillId="0" borderId="0" xfId="0" applyNumberFormat="1" applyFont="1" applyAlignment="1">
      <alignment horizontal="center"/>
    </xf>
    <xf numFmtId="3" fontId="5" fillId="7" borderId="0" xfId="0" applyNumberFormat="1" applyFont="1" applyFill="1" applyAlignment="1">
      <alignment horizontal="center"/>
    </xf>
    <xf numFmtId="165" fontId="5" fillId="7" borderId="0" xfId="0" applyNumberFormat="1" applyFont="1" applyFill="1" applyAlignment="1">
      <alignment horizontal="center"/>
    </xf>
    <xf numFmtId="0" fontId="4" fillId="0" borderId="0" xfId="0" applyFont="1" applyAlignment="1">
      <alignment horizontal="left"/>
    </xf>
    <xf numFmtId="0" fontId="1" fillId="2" borderId="0" xfId="0" applyFont="1" applyFill="1" applyAlignment="1">
      <alignment horizontal="left" vertical="center"/>
    </xf>
    <xf numFmtId="0" fontId="0" fillId="0" borderId="0" xfId="0" applyAlignment="1">
      <alignment horizontal="left"/>
    </xf>
    <xf numFmtId="0" fontId="1" fillId="2" borderId="0" xfId="0" applyFont="1" applyFill="1" applyAlignment="1">
      <alignment horizontal="center" vertical="center" wrapText="1"/>
    </xf>
    <xf numFmtId="164" fontId="0" fillId="0" borderId="0" xfId="0" applyNumberFormat="1" applyAlignment="1">
      <alignment horizont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164" fontId="0" fillId="0" borderId="0" xfId="0" applyNumberForma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7" borderId="0" xfId="0" applyFont="1" applyFill="1" applyAlignment="1">
      <alignment horizontal="left"/>
    </xf>
    <xf numFmtId="0" fontId="5" fillId="2" borderId="0" xfId="0" applyFont="1" applyFill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5" fillId="8" borderId="0" xfId="0" applyFont="1" applyFill="1" applyAlignment="1">
      <alignment horizontal="center" vertical="center"/>
    </xf>
    <xf numFmtId="0" fontId="6" fillId="5" borderId="0" xfId="0" applyFont="1" applyFill="1" applyAlignment="1">
      <alignment horizontal="center"/>
    </xf>
    <xf numFmtId="0" fontId="7" fillId="6" borderId="0" xfId="0" applyFont="1" applyFill="1" applyAlignment="1"/>
  </cellXfs>
  <cellStyles count="1">
    <cellStyle name="Normal" xfId="0" builtinId="0"/>
  </cellStyles>
  <dxfs count="3">
    <dxf>
      <font>
        <color rgb="FFCC0000"/>
      </font>
      <fill>
        <patternFill patternType="solid">
          <fgColor indexed="64"/>
          <bgColor rgb="FFFFCCCC"/>
        </patternFill>
      </fill>
    </dxf>
    <dxf>
      <font>
        <color rgb="FFCC0000"/>
      </font>
      <fill>
        <patternFill patternType="solid">
          <fgColor indexed="64"/>
          <bgColor rgb="FFFFCCCC"/>
        </patternFill>
      </fill>
    </dxf>
    <dxf>
      <font>
        <b/>
        <i val="0"/>
        <color rgb="FFFFFFFF"/>
      </font>
      <fill>
        <patternFill patternType="solid">
          <fgColor indexed="64"/>
          <bgColor rgb="FFFF0000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AB4A6983-0CCE-47D8-86E5-ACB4742B02C2}">
  <we:reference id="WA200009404" version="1.0.0.8" store="en-us" storeType="omex"/>
  <we:alternateReferences>
    <we:reference id="WA200009404" version="1.0.0.8" store="en-us" storeType="omex"/>
  </we:alternateReferences>
  <we:properties>
    <we:property name="claude.fileId" value="&quot;21e3d0bb-4a62-401d-9b4d-2fea9b5a28a3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BF2E93-A28C-499D-AF31-BCE9D5AFE95C}">
  <dimension ref="A1:G75"/>
  <sheetViews>
    <sheetView workbookViewId="0">
      <pane ySplit="1" topLeftCell="A48" activePane="bottomLeft" state="frozen"/>
      <selection pane="bottomLeft" sqref="A1:A1048576"/>
    </sheetView>
  </sheetViews>
  <sheetFormatPr defaultRowHeight="15"/>
  <cols>
    <col min="1" max="1" width="41.85546875" style="21" customWidth="1"/>
    <col min="2" max="2" width="40.140625" customWidth="1"/>
    <col min="3" max="4" width="22.85546875" customWidth="1"/>
    <col min="5" max="5" width="21" customWidth="1"/>
    <col min="6" max="6" width="15.28515625" customWidth="1"/>
    <col min="7" max="7" width="22.85546875" customWidth="1"/>
  </cols>
  <sheetData>
    <row r="1" spans="1:7" ht="18.75">
      <c r="A1" s="33" t="s">
        <v>0</v>
      </c>
      <c r="B1" s="33"/>
      <c r="C1" s="33"/>
      <c r="D1" s="33"/>
      <c r="E1" s="33"/>
      <c r="F1" s="33"/>
      <c r="G1" s="33"/>
    </row>
    <row r="3" spans="1:7" ht="15.75">
      <c r="A3" s="34" t="s">
        <v>1</v>
      </c>
      <c r="B3" s="34"/>
      <c r="C3" s="34"/>
      <c r="D3" s="34"/>
      <c r="E3" s="34"/>
      <c r="F3" s="34"/>
      <c r="G3" s="34"/>
    </row>
    <row r="4" spans="1:7">
      <c r="A4" s="29" t="s">
        <v>2</v>
      </c>
      <c r="B4" s="14" t="s">
        <v>3</v>
      </c>
      <c r="C4" s="14" t="s">
        <v>4</v>
      </c>
      <c r="D4" s="14" t="s">
        <v>5</v>
      </c>
      <c r="E4" s="14" t="s">
        <v>6</v>
      </c>
      <c r="F4" s="14" t="s">
        <v>7</v>
      </c>
      <c r="G4" s="14" t="s">
        <v>8</v>
      </c>
    </row>
    <row r="5" spans="1:7">
      <c r="A5" s="19" t="s">
        <v>9</v>
      </c>
      <c r="B5" s="12">
        <f>COUNTIF(Data!G:G,A5)</f>
        <v>232</v>
      </c>
      <c r="C5" s="15">
        <f>SUMIF(Data!G:G,A5,Data!I:I)</f>
        <v>1187110.9000000004</v>
      </c>
      <c r="D5" s="15" cm="1">
        <f t="array" ref="D5">SUMPRODUCT((Data!G$2:G$293=A5)*IF(Data!J$2:J$293="",0,Data!J$2:J$293))</f>
        <v>7500</v>
      </c>
      <c r="E5" s="15">
        <f>C5-D5</f>
        <v>1179610.9000000004</v>
      </c>
      <c r="F5" s="16">
        <f>IF(C5=0,"",D5/C5)</f>
        <v>6.3178596035130315E-3</v>
      </c>
      <c r="G5" s="12">
        <f>COUNTIFS(Data!G:G,A5,Data!J:J,"&gt;0")</f>
        <v>1</v>
      </c>
    </row>
    <row r="6" spans="1:7">
      <c r="A6" s="19" t="s">
        <v>10</v>
      </c>
      <c r="B6" s="12">
        <f>COUNTIF(Data!G:G,A6)</f>
        <v>43</v>
      </c>
      <c r="C6" s="15">
        <f>SUMIF(Data!G:G,A6,Data!I:I)</f>
        <v>200874.15000000002</v>
      </c>
      <c r="D6" s="15" cm="1">
        <f t="array" ref="D6">SUMPRODUCT((Data!G$2:G$293=A6)*IF(Data!J$2:J$293="",0,Data!J$2:J$293))</f>
        <v>6006</v>
      </c>
      <c r="E6" s="15">
        <f>C6-D6</f>
        <v>194868.15000000002</v>
      </c>
      <c r="F6" s="16">
        <f>IF(C6=0,"",D6/C6)</f>
        <v>2.989931755778431E-2</v>
      </c>
      <c r="G6" s="12">
        <f>COUNTIFS(Data!G:G,A6,Data!J:J,"&gt;0")</f>
        <v>1</v>
      </c>
    </row>
    <row r="7" spans="1:7">
      <c r="A7" s="19" t="s">
        <v>11</v>
      </c>
      <c r="B7" s="12">
        <f>COUNTIF(Data!G:G,A7)</f>
        <v>17</v>
      </c>
      <c r="C7" s="15">
        <f>SUMIF(Data!G:G,A7,Data!I:I)</f>
        <v>23787.775000000001</v>
      </c>
      <c r="D7" s="15" cm="1">
        <f t="array" ref="D7">SUMPRODUCT((Data!G$2:G$293=A7)*IF(Data!J$2:J$293="",0,Data!J$2:J$293))</f>
        <v>0</v>
      </c>
      <c r="E7" s="15">
        <f>C7-D7</f>
        <v>23787.775000000001</v>
      </c>
      <c r="F7" s="16">
        <f>IF(C7=0,"",D7/C7)</f>
        <v>0</v>
      </c>
      <c r="G7" s="12">
        <f>COUNTIFS(Data!G:G,A7,Data!J:J,"&gt;0")</f>
        <v>0</v>
      </c>
    </row>
    <row r="8" spans="1:7">
      <c r="A8" s="29" t="s">
        <v>12</v>
      </c>
      <c r="B8" s="14">
        <f>SUM(B5:B7)</f>
        <v>292</v>
      </c>
      <c r="C8" s="17">
        <f>SUM(C5:C7)</f>
        <v>1411772.8250000002</v>
      </c>
      <c r="D8" s="17">
        <f>SUM(D5:D7)</f>
        <v>13506</v>
      </c>
      <c r="E8" s="17">
        <f>SUM(E5:E7)</f>
        <v>1398266.8250000002</v>
      </c>
      <c r="F8" s="18">
        <f>IF(C8=0,"",D8/C8)</f>
        <v>9.5666949815385472E-3</v>
      </c>
      <c r="G8" s="14">
        <f>SUM(G5:G7)</f>
        <v>2</v>
      </c>
    </row>
    <row r="10" spans="1:7" ht="15.75">
      <c r="A10" s="34" t="s">
        <v>13</v>
      </c>
      <c r="B10" s="34"/>
      <c r="C10" s="34"/>
      <c r="D10" s="34"/>
      <c r="E10" s="34"/>
      <c r="F10" s="34"/>
      <c r="G10" s="34"/>
    </row>
    <row r="11" spans="1:7">
      <c r="A11" s="29" t="s">
        <v>14</v>
      </c>
      <c r="B11" s="14" t="s">
        <v>3</v>
      </c>
      <c r="C11" s="14" t="s">
        <v>4</v>
      </c>
      <c r="D11" s="14" t="s">
        <v>5</v>
      </c>
      <c r="E11" s="14" t="s">
        <v>6</v>
      </c>
      <c r="F11" s="14" t="s">
        <v>7</v>
      </c>
      <c r="G11" s="14" t="s">
        <v>8</v>
      </c>
    </row>
    <row r="12" spans="1:7">
      <c r="A12" s="19" t="s">
        <v>15</v>
      </c>
      <c r="B12" s="12" cm="1">
        <f t="array" ref="B12">SUMPRODUCT((UPPER(Data!D$2:D$293)=UPPER(A12))*1)</f>
        <v>7</v>
      </c>
      <c r="C12" s="15" cm="1">
        <f t="array" ref="C12">SUMPRODUCT((UPPER(Data!D$2:D$293)=UPPER(A12))*Data!I$2:I$293)</f>
        <v>7345.5</v>
      </c>
      <c r="D12" s="15" cm="1">
        <f t="array" ref="D12">SUMPRODUCT((UPPER(Data!D$2:D$293)=UPPER(A12))*IF(Data!J$2:J$293="",0,Data!J$2:J$293))</f>
        <v>0</v>
      </c>
      <c r="E12" s="15">
        <f>C12-D12</f>
        <v>7345.5</v>
      </c>
      <c r="F12" s="16">
        <f>IF(C12=0,"",D12/C12)</f>
        <v>0</v>
      </c>
      <c r="G12" s="12" cm="1">
        <f t="array" ref="G12">SUMPRODUCT((UPPER(Data!D$2:D$293)=UPPER(A12))*(Data!J$2:J$293&gt;0)*1)</f>
        <v>7</v>
      </c>
    </row>
    <row r="13" spans="1:7">
      <c r="A13" s="19" t="s">
        <v>16</v>
      </c>
      <c r="B13" s="12" cm="1">
        <f t="array" ref="B13">SUMPRODUCT((UPPER(Data!D$2:D$293)=UPPER(A13))*1)</f>
        <v>2</v>
      </c>
      <c r="C13" s="15" cm="1">
        <f t="array" ref="C13">SUMPRODUCT((UPPER(Data!D$2:D$293)=UPPER(A13))*Data!I$2:I$293)</f>
        <v>8252.5</v>
      </c>
      <c r="D13" s="15" cm="1">
        <f t="array" ref="D13">SUMPRODUCT((UPPER(Data!D$2:D$293)=UPPER(A13))*IF(Data!J$2:J$293="",0,Data!J$2:J$293))</f>
        <v>0</v>
      </c>
      <c r="E13" s="15">
        <f t="shared" ref="E13:E26" si="0">C13-D13</f>
        <v>8252.5</v>
      </c>
      <c r="F13" s="16">
        <f t="shared" ref="F13:F26" si="1">IF(C13=0,"",D13/C13)</f>
        <v>0</v>
      </c>
      <c r="G13" s="12" cm="1">
        <f t="array" ref="G13">SUMPRODUCT((UPPER(Data!D$2:D$293)=UPPER(A13))*(Data!J$2:J$293&gt;0)*1)</f>
        <v>2</v>
      </c>
    </row>
    <row r="14" spans="1:7">
      <c r="A14" s="19" t="s">
        <v>17</v>
      </c>
      <c r="B14" s="12" cm="1">
        <f t="array" ref="B14">SUMPRODUCT((UPPER(Data!D$2:D$293)=UPPER(A14))*1)</f>
        <v>13</v>
      </c>
      <c r="C14" s="15" cm="1">
        <f t="array" ref="C14">SUMPRODUCT((UPPER(Data!D$2:D$293)=UPPER(A14))*Data!I$2:I$293)</f>
        <v>82622.924999999988</v>
      </c>
      <c r="D14" s="15" cm="1">
        <f t="array" ref="D14">SUMPRODUCT((UPPER(Data!D$2:D$293)=UPPER(A14))*IF(Data!J$2:J$293="",0,Data!J$2:J$293))</f>
        <v>0</v>
      </c>
      <c r="E14" s="15">
        <f t="shared" si="0"/>
        <v>82622.924999999988</v>
      </c>
      <c r="F14" s="16">
        <f t="shared" si="1"/>
        <v>0</v>
      </c>
      <c r="G14" s="12" cm="1">
        <f t="array" ref="G14">SUMPRODUCT((UPPER(Data!D$2:D$293)=UPPER(A14))*(Data!J$2:J$293&gt;0)*1)</f>
        <v>13</v>
      </c>
    </row>
    <row r="15" spans="1:7">
      <c r="A15" s="19" t="s">
        <v>18</v>
      </c>
      <c r="B15" s="12" cm="1">
        <f t="array" ref="B15">SUMPRODUCT((UPPER(Data!D$2:D$293)=UPPER(A15))*1)</f>
        <v>63</v>
      </c>
      <c r="C15" s="15" cm="1">
        <f t="array" ref="C15">SUMPRODUCT((UPPER(Data!D$2:D$293)=UPPER(A15))*Data!I$2:I$293)</f>
        <v>462266.39999999997</v>
      </c>
      <c r="D15" s="15" cm="1">
        <f t="array" ref="D15">SUMPRODUCT((UPPER(Data!D$2:D$293)=UPPER(A15))*IF(Data!J$2:J$293="",0,Data!J$2:J$293))</f>
        <v>0</v>
      </c>
      <c r="E15" s="15">
        <f t="shared" si="0"/>
        <v>462266.39999999997</v>
      </c>
      <c r="F15" s="16">
        <f t="shared" si="1"/>
        <v>0</v>
      </c>
      <c r="G15" s="12" cm="1">
        <f t="array" ref="G15">SUMPRODUCT((UPPER(Data!D$2:D$293)=UPPER(A15))*(Data!J$2:J$293&gt;0)*1)</f>
        <v>63</v>
      </c>
    </row>
    <row r="16" spans="1:7">
      <c r="A16" s="19" t="s">
        <v>19</v>
      </c>
      <c r="B16" s="12" cm="1">
        <f t="array" ref="B16">SUMPRODUCT((UPPER(Data!D$2:D$293)=UPPER(A16))*1)</f>
        <v>1</v>
      </c>
      <c r="C16" s="15" cm="1">
        <f t="array" ref="C16">SUMPRODUCT((UPPER(Data!D$2:D$293)=UPPER(A16))*Data!I$2:I$293)</f>
        <v>20956.125000000004</v>
      </c>
      <c r="D16" s="15" cm="1">
        <f t="array" ref="D16">SUMPRODUCT((UPPER(Data!D$2:D$293)=UPPER(A16))*IF(Data!J$2:J$293="",0,Data!J$2:J$293))</f>
        <v>0</v>
      </c>
      <c r="E16" s="15">
        <f t="shared" si="0"/>
        <v>20956.125000000004</v>
      </c>
      <c r="F16" s="16">
        <f t="shared" si="1"/>
        <v>0</v>
      </c>
      <c r="G16" s="12" cm="1">
        <f t="array" ref="G16">SUMPRODUCT((UPPER(Data!D$2:D$293)=UPPER(A16))*(Data!J$2:J$293&gt;0)*1)</f>
        <v>1</v>
      </c>
    </row>
    <row r="17" spans="1:7">
      <c r="A17" s="19" t="s">
        <v>20</v>
      </c>
      <c r="B17" s="12" cm="1">
        <f t="array" ref="B17">SUMPRODUCT((UPPER(Data!D$2:D$293)=UPPER(A17))*1)</f>
        <v>2</v>
      </c>
      <c r="C17" s="15" cm="1">
        <f t="array" ref="C17">SUMPRODUCT((UPPER(Data!D$2:D$293)=UPPER(A17))*Data!I$2:I$293)</f>
        <v>5642.2249999999995</v>
      </c>
      <c r="D17" s="15" cm="1">
        <f t="array" ref="D17">SUMPRODUCT((UPPER(Data!D$2:D$293)=UPPER(A17))*IF(Data!J$2:J$293="",0,Data!J$2:J$293))</f>
        <v>0</v>
      </c>
      <c r="E17" s="15">
        <f t="shared" si="0"/>
        <v>5642.2249999999995</v>
      </c>
      <c r="F17" s="16">
        <f t="shared" si="1"/>
        <v>0</v>
      </c>
      <c r="G17" s="12" cm="1">
        <f t="array" ref="G17">SUMPRODUCT((UPPER(Data!D$2:D$293)=UPPER(A17))*(Data!J$2:J$293&gt;0)*1)</f>
        <v>2</v>
      </c>
    </row>
    <row r="18" spans="1:7">
      <c r="A18" s="19" t="s">
        <v>21</v>
      </c>
      <c r="B18" s="12" cm="1">
        <f t="array" ref="B18">SUMPRODUCT((UPPER(Data!D$2:D$293)=UPPER(A18))*1)</f>
        <v>3</v>
      </c>
      <c r="C18" s="15" cm="1">
        <f t="array" ref="C18">SUMPRODUCT((UPPER(Data!D$2:D$293)=UPPER(A18))*Data!I$2:I$293)</f>
        <v>2417.75</v>
      </c>
      <c r="D18" s="15" cm="1">
        <f t="array" ref="D18">SUMPRODUCT((UPPER(Data!D$2:D$293)=UPPER(A18))*IF(Data!J$2:J$293="",0,Data!J$2:J$293))</f>
        <v>0</v>
      </c>
      <c r="E18" s="15">
        <f t="shared" si="0"/>
        <v>2417.75</v>
      </c>
      <c r="F18" s="16">
        <f t="shared" si="1"/>
        <v>0</v>
      </c>
      <c r="G18" s="12" cm="1">
        <f t="array" ref="G18">SUMPRODUCT((UPPER(Data!D$2:D$293)=UPPER(A18))*(Data!J$2:J$293&gt;0)*1)</f>
        <v>3</v>
      </c>
    </row>
    <row r="19" spans="1:7">
      <c r="A19" s="19" t="s">
        <v>22</v>
      </c>
      <c r="B19" s="12" cm="1">
        <f t="array" ref="B19">SUMPRODUCT((UPPER(Data!D$2:D$293)=UPPER(A19))*1)</f>
        <v>36</v>
      </c>
      <c r="C19" s="15" cm="1">
        <f t="array" ref="C19">SUMPRODUCT((UPPER(Data!D$2:D$293)=UPPER(A19))*Data!I$2:I$293)</f>
        <v>164860.27499999999</v>
      </c>
      <c r="D19" s="15" cm="1">
        <f t="array" ref="D19">SUMPRODUCT((UPPER(Data!D$2:D$293)=UPPER(A19))*IF(Data!J$2:J$293="",0,Data!J$2:J$293))</f>
        <v>6006</v>
      </c>
      <c r="E19" s="15">
        <f t="shared" si="0"/>
        <v>158854.27499999999</v>
      </c>
      <c r="F19" s="16">
        <f t="shared" si="1"/>
        <v>3.6430850306418572E-2</v>
      </c>
      <c r="G19" s="12" cm="1">
        <f t="array" ref="G19">SUMPRODUCT((UPPER(Data!D$2:D$293)=UPPER(A19))*(Data!J$2:J$293&gt;0)*1)</f>
        <v>36</v>
      </c>
    </row>
    <row r="20" spans="1:7">
      <c r="A20" s="19" t="s">
        <v>23</v>
      </c>
      <c r="B20" s="12" cm="1">
        <f t="array" ref="B20">SUMPRODUCT((UPPER(Data!D$2:D$293)=UPPER(A20))*1)</f>
        <v>4</v>
      </c>
      <c r="C20" s="15" cm="1">
        <f t="array" ref="C20">SUMPRODUCT((UPPER(Data!D$2:D$293)=UPPER(A20))*Data!I$2:I$293)</f>
        <v>6543.6500000000005</v>
      </c>
      <c r="D20" s="15" cm="1">
        <f t="array" ref="D20">SUMPRODUCT((UPPER(Data!D$2:D$293)=UPPER(A20))*IF(Data!J$2:J$293="",0,Data!J$2:J$293))</f>
        <v>0</v>
      </c>
      <c r="E20" s="15">
        <f t="shared" si="0"/>
        <v>6543.6500000000005</v>
      </c>
      <c r="F20" s="16">
        <f t="shared" si="1"/>
        <v>0</v>
      </c>
      <c r="G20" s="12" cm="1">
        <f t="array" ref="G20">SUMPRODUCT((UPPER(Data!D$2:D$293)=UPPER(A20))*(Data!J$2:J$293&gt;0)*1)</f>
        <v>4</v>
      </c>
    </row>
    <row r="21" spans="1:7">
      <c r="A21" s="19" t="s">
        <v>24</v>
      </c>
      <c r="B21" s="12" cm="1">
        <f t="array" ref="B21">SUMPRODUCT((UPPER(Data!D$2:D$293)=UPPER(A21))*1)</f>
        <v>11</v>
      </c>
      <c r="C21" s="15" cm="1">
        <f t="array" ref="C21">SUMPRODUCT((UPPER(Data!D$2:D$293)=UPPER(A21))*Data!I$2:I$293)</f>
        <v>43417.224999999991</v>
      </c>
      <c r="D21" s="15" cm="1">
        <f t="array" ref="D21">SUMPRODUCT((UPPER(Data!D$2:D$293)=UPPER(A21))*IF(Data!J$2:J$293="",0,Data!J$2:J$293))</f>
        <v>0</v>
      </c>
      <c r="E21" s="15">
        <f t="shared" si="0"/>
        <v>43417.224999999991</v>
      </c>
      <c r="F21" s="16">
        <f t="shared" si="1"/>
        <v>0</v>
      </c>
      <c r="G21" s="12" cm="1">
        <f t="array" ref="G21">SUMPRODUCT((UPPER(Data!D$2:D$293)=UPPER(A21))*(Data!J$2:J$293&gt;0)*1)</f>
        <v>11</v>
      </c>
    </row>
    <row r="22" spans="1:7">
      <c r="A22" s="19" t="s">
        <v>25</v>
      </c>
      <c r="B22" s="12" cm="1">
        <f t="array" ref="B22">SUMPRODUCT((UPPER(Data!D$2:D$293)=UPPER(A22))*1)</f>
        <v>14</v>
      </c>
      <c r="C22" s="15" cm="1">
        <f t="array" ref="C22">SUMPRODUCT((UPPER(Data!D$2:D$293)=UPPER(A22))*Data!I$2:I$293)</f>
        <v>56377.675000000003</v>
      </c>
      <c r="D22" s="15" cm="1">
        <f t="array" ref="D22">SUMPRODUCT((UPPER(Data!D$2:D$293)=UPPER(A22))*IF(Data!J$2:J$293="",0,Data!J$2:J$293))</f>
        <v>0</v>
      </c>
      <c r="E22" s="15">
        <f t="shared" si="0"/>
        <v>56377.675000000003</v>
      </c>
      <c r="F22" s="16">
        <f t="shared" si="1"/>
        <v>0</v>
      </c>
      <c r="G22" s="12" cm="1">
        <f t="array" ref="G22">SUMPRODUCT((UPPER(Data!D$2:D$293)=UPPER(A22))*(Data!J$2:J$293&gt;0)*1)</f>
        <v>14</v>
      </c>
    </row>
    <row r="23" spans="1:7">
      <c r="A23" s="19" t="s">
        <v>26</v>
      </c>
      <c r="B23" s="12" cm="1">
        <f t="array" ref="B23">SUMPRODUCT((UPPER(Data!D$2:D$293)=UPPER(A23))*1)</f>
        <v>46</v>
      </c>
      <c r="C23" s="15" cm="1">
        <f t="array" ref="C23">SUMPRODUCT((UPPER(Data!D$2:D$293)=UPPER(A23))*Data!I$2:I$293)</f>
        <v>215623.9</v>
      </c>
      <c r="D23" s="15" cm="1">
        <f t="array" ref="D23">SUMPRODUCT((UPPER(Data!D$2:D$293)=UPPER(A23))*IF(Data!J$2:J$293="",0,Data!J$2:J$293))</f>
        <v>0</v>
      </c>
      <c r="E23" s="15">
        <f t="shared" si="0"/>
        <v>215623.9</v>
      </c>
      <c r="F23" s="16">
        <f t="shared" si="1"/>
        <v>0</v>
      </c>
      <c r="G23" s="12" cm="1">
        <f t="array" ref="G23">SUMPRODUCT((UPPER(Data!D$2:D$293)=UPPER(A23))*(Data!J$2:J$293&gt;0)*1)</f>
        <v>46</v>
      </c>
    </row>
    <row r="24" spans="1:7">
      <c r="A24" s="19" t="s">
        <v>27</v>
      </c>
      <c r="B24" s="12" cm="1">
        <f t="array" ref="B24">SUMPRODUCT((UPPER(Data!D$2:D$293)=UPPER(A24))*1)</f>
        <v>69</v>
      </c>
      <c r="C24" s="15" cm="1">
        <f t="array" ref="C24">SUMPRODUCT((UPPER(Data!D$2:D$293)=UPPER(A24))*Data!I$2:I$293)</f>
        <v>295507.12499999994</v>
      </c>
      <c r="D24" s="15" cm="1">
        <f t="array" ref="D24">SUMPRODUCT((UPPER(Data!D$2:D$293)=UPPER(A24))*IF(Data!J$2:J$293="",0,Data!J$2:J$293))</f>
        <v>7500</v>
      </c>
      <c r="E24" s="15">
        <f t="shared" si="0"/>
        <v>288007.12499999994</v>
      </c>
      <c r="F24" s="16">
        <f t="shared" si="1"/>
        <v>2.5380098703203863E-2</v>
      </c>
      <c r="G24" s="12" cm="1">
        <f t="array" ref="G24">SUMPRODUCT((UPPER(Data!D$2:D$293)=UPPER(A24))*(Data!J$2:J$293&gt;0)*1)</f>
        <v>69</v>
      </c>
    </row>
    <row r="25" spans="1:7">
      <c r="A25" s="19" t="s">
        <v>28</v>
      </c>
      <c r="B25" s="12" cm="1">
        <f t="array" ref="B25">SUMPRODUCT((UPPER(Data!D$2:D$293)=UPPER(A25))*1)</f>
        <v>11</v>
      </c>
      <c r="C25" s="15" cm="1">
        <f t="array" ref="C25">SUMPRODUCT((UPPER(Data!D$2:D$293)=UPPER(A25))*Data!I$2:I$293)</f>
        <v>19311.625</v>
      </c>
      <c r="D25" s="15" cm="1">
        <f t="array" ref="D25">SUMPRODUCT((UPPER(Data!D$2:D$293)=UPPER(A25))*IF(Data!J$2:J$293="",0,Data!J$2:J$293))</f>
        <v>0</v>
      </c>
      <c r="E25" s="15">
        <f t="shared" si="0"/>
        <v>19311.625</v>
      </c>
      <c r="F25" s="16">
        <f t="shared" si="1"/>
        <v>0</v>
      </c>
      <c r="G25" s="12" cm="1">
        <f t="array" ref="G25">SUMPRODUCT((UPPER(Data!D$2:D$293)=UPPER(A25))*(Data!J$2:J$293&gt;0)*1)</f>
        <v>11</v>
      </c>
    </row>
    <row r="26" spans="1:7">
      <c r="A26" s="19" t="s">
        <v>29</v>
      </c>
      <c r="B26" s="12" cm="1">
        <f t="array" ref="B26">SUMPRODUCT((UPPER(Data!D$2:D$293)=UPPER(A26))*1)</f>
        <v>6</v>
      </c>
      <c r="C26" s="15" cm="1">
        <f t="array" ref="C26">SUMPRODUCT((UPPER(Data!D$2:D$293)=UPPER(A26))*Data!I$2:I$293)</f>
        <v>12649.525000000001</v>
      </c>
      <c r="D26" s="15" cm="1">
        <f t="array" ref="D26">SUMPRODUCT((UPPER(Data!D$2:D$293)=UPPER(A26))*IF(Data!J$2:J$293="",0,Data!J$2:J$293))</f>
        <v>0</v>
      </c>
      <c r="E26" s="15">
        <f t="shared" si="0"/>
        <v>12649.525000000001</v>
      </c>
      <c r="F26" s="16">
        <f t="shared" si="1"/>
        <v>0</v>
      </c>
      <c r="G26" s="12" cm="1">
        <f t="array" ref="G26">SUMPRODUCT((UPPER(Data!D$2:D$293)=UPPER(A26))*(Data!J$2:J$293&gt;0)*1)</f>
        <v>6</v>
      </c>
    </row>
    <row r="27" spans="1:7">
      <c r="A27" s="29" t="s">
        <v>12</v>
      </c>
      <c r="B27" s="14">
        <f>SUM(B12:B26)</f>
        <v>288</v>
      </c>
      <c r="C27" s="17">
        <f>SUM(C12:C26)</f>
        <v>1403794.4249999998</v>
      </c>
      <c r="D27" s="17">
        <f>SUM(D12:D26)</f>
        <v>13506</v>
      </c>
      <c r="E27" s="17">
        <f>SUM(E12:E26)</f>
        <v>1390288.4249999998</v>
      </c>
      <c r="F27" s="18">
        <f>IF(C27=0,"",D27/C27)</f>
        <v>9.6210668453110583E-3</v>
      </c>
      <c r="G27" s="14">
        <f>SUM(G12:G26)</f>
        <v>288</v>
      </c>
    </row>
    <row r="29" spans="1:7" ht="15.75">
      <c r="A29" s="34" t="s">
        <v>30</v>
      </c>
      <c r="B29" s="34"/>
      <c r="C29" s="34"/>
      <c r="D29" s="34"/>
      <c r="E29" s="34"/>
      <c r="F29" s="34"/>
      <c r="G29" s="34"/>
    </row>
    <row r="30" spans="1:7">
      <c r="A30" s="29" t="s">
        <v>31</v>
      </c>
      <c r="B30" s="14" t="s">
        <v>3</v>
      </c>
      <c r="C30" s="14" t="s">
        <v>4</v>
      </c>
      <c r="D30" s="14" t="s">
        <v>5</v>
      </c>
      <c r="E30" s="14" t="s">
        <v>6</v>
      </c>
      <c r="F30" s="14" t="s">
        <v>7</v>
      </c>
      <c r="G30" s="14" t="s">
        <v>8</v>
      </c>
    </row>
    <row r="31" spans="1:7">
      <c r="A31" s="19" t="s">
        <v>32</v>
      </c>
      <c r="B31" s="12">
        <f>COUNTIF(Data!C:C,A31)</f>
        <v>2</v>
      </c>
      <c r="C31" s="15">
        <f>SUMIF(Data!C:C,A31,Data!I:I)</f>
        <v>5642.2249999999995</v>
      </c>
      <c r="D31" s="15" cm="1">
        <f t="array" ref="D31">SUMPRODUCT((Data!C$2:C$293=A31)*IF(Data!J$2:J$293="",0,Data!J$2:J$293))</f>
        <v>0</v>
      </c>
      <c r="E31" s="15">
        <f>C31-D31</f>
        <v>5642.2249999999995</v>
      </c>
      <c r="F31" s="16">
        <f>IF(C31=0,"",D31/C31)</f>
        <v>0</v>
      </c>
      <c r="G31" s="12">
        <f>COUNTIFS(Data!C:C,A31,Data!J:J,"&gt;0")</f>
        <v>0</v>
      </c>
    </row>
    <row r="32" spans="1:7">
      <c r="A32" s="19" t="s">
        <v>33</v>
      </c>
      <c r="B32" s="12">
        <f>COUNTIF(Data!C:C,A32)</f>
        <v>1</v>
      </c>
      <c r="C32" s="15">
        <f>SUMIF(Data!C:C,A32,Data!I:I)</f>
        <v>875</v>
      </c>
      <c r="D32" s="15" cm="1">
        <f t="array" ref="D32">SUMPRODUCT((Data!C$2:C$293=A32)*IF(Data!J$2:J$293="",0,Data!J$2:J$293))</f>
        <v>0</v>
      </c>
      <c r="E32" s="15">
        <f t="shared" ref="E32:E64" si="2">C32-D32</f>
        <v>875</v>
      </c>
      <c r="F32" s="16">
        <f t="shared" ref="F32:F64" si="3">IF(C32=0,"",D32/C32)</f>
        <v>0</v>
      </c>
      <c r="G32" s="12">
        <f>COUNTIFS(Data!C:C,A32,Data!J:J,"&gt;0")</f>
        <v>0</v>
      </c>
    </row>
    <row r="33" spans="1:7">
      <c r="A33" s="19" t="s">
        <v>34</v>
      </c>
      <c r="B33" s="12">
        <f>COUNTIF(Data!C:C,A33)</f>
        <v>12</v>
      </c>
      <c r="C33" s="15">
        <f>SUMIF(Data!C:C,A33,Data!I:I)</f>
        <v>35413.625</v>
      </c>
      <c r="D33" s="15" cm="1">
        <f t="array" ref="D33">SUMPRODUCT((Data!C$2:C$293=A33)*IF(Data!J$2:J$293="",0,Data!J$2:J$293))</f>
        <v>0</v>
      </c>
      <c r="E33" s="15">
        <f t="shared" si="2"/>
        <v>35413.625</v>
      </c>
      <c r="F33" s="16">
        <f t="shared" si="3"/>
        <v>0</v>
      </c>
      <c r="G33" s="12">
        <f>COUNTIFS(Data!C:C,A33,Data!J:J,"&gt;0")</f>
        <v>0</v>
      </c>
    </row>
    <row r="34" spans="1:7">
      <c r="A34" s="19" t="s">
        <v>35</v>
      </c>
      <c r="B34" s="12">
        <f>COUNTIF(Data!C:C,A34)</f>
        <v>12</v>
      </c>
      <c r="C34" s="15">
        <f>SUMIF(Data!C:C,A34,Data!I:I)</f>
        <v>24802.75</v>
      </c>
      <c r="D34" s="15" cm="1">
        <f t="array" ref="D34">SUMPRODUCT((Data!C$2:C$293=A34)*IF(Data!J$2:J$293="",0,Data!J$2:J$293))</f>
        <v>0</v>
      </c>
      <c r="E34" s="15">
        <f t="shared" si="2"/>
        <v>24802.75</v>
      </c>
      <c r="F34" s="16">
        <f t="shared" si="3"/>
        <v>0</v>
      </c>
      <c r="G34" s="12">
        <f>COUNTIFS(Data!C:C,A34,Data!J:J,"&gt;0")</f>
        <v>0</v>
      </c>
    </row>
    <row r="35" spans="1:7">
      <c r="A35" s="19" t="s">
        <v>36</v>
      </c>
      <c r="B35" s="12">
        <f>COUNTIF(Data!C:C,A35)</f>
        <v>2</v>
      </c>
      <c r="C35" s="15">
        <f>SUMIF(Data!C:C,A35,Data!I:I)</f>
        <v>3791.15</v>
      </c>
      <c r="D35" s="15" cm="1">
        <f t="array" ref="D35">SUMPRODUCT((Data!C$2:C$293=A35)*IF(Data!J$2:J$293="",0,Data!J$2:J$293))</f>
        <v>0</v>
      </c>
      <c r="E35" s="15">
        <f t="shared" si="2"/>
        <v>3791.15</v>
      </c>
      <c r="F35" s="16">
        <f t="shared" si="3"/>
        <v>0</v>
      </c>
      <c r="G35" s="12">
        <f>COUNTIFS(Data!C:C,A35,Data!J:J,"&gt;0")</f>
        <v>0</v>
      </c>
    </row>
    <row r="36" spans="1:7">
      <c r="A36" s="19" t="s">
        <v>37</v>
      </c>
      <c r="B36" s="12">
        <f>COUNTIF(Data!C:C,A36)</f>
        <v>9</v>
      </c>
      <c r="C36" s="15">
        <f>SUMIF(Data!C:C,A36,Data!I:I)</f>
        <v>41711.775000000001</v>
      </c>
      <c r="D36" s="15" cm="1">
        <f t="array" ref="D36">SUMPRODUCT((Data!C$2:C$293=A36)*IF(Data!J$2:J$293="",0,Data!J$2:J$293))</f>
        <v>6006</v>
      </c>
      <c r="E36" s="15">
        <f t="shared" si="2"/>
        <v>35705.775000000001</v>
      </c>
      <c r="F36" s="16">
        <f t="shared" si="3"/>
        <v>0.14398811846295201</v>
      </c>
      <c r="G36" s="12">
        <f>COUNTIFS(Data!C:C,A36,Data!J:J,"&gt;0")</f>
        <v>1</v>
      </c>
    </row>
    <row r="37" spans="1:7">
      <c r="A37" s="19" t="s">
        <v>38</v>
      </c>
      <c r="B37" s="12">
        <f>COUNTIF(Data!C:C,A37)</f>
        <v>20</v>
      </c>
      <c r="C37" s="15">
        <f>SUMIF(Data!C:C,A37,Data!I:I)</f>
        <v>126541.6</v>
      </c>
      <c r="D37" s="15" cm="1">
        <f t="array" ref="D37">SUMPRODUCT((Data!C$2:C$293=A37)*IF(Data!J$2:J$293="",0,Data!J$2:J$293))</f>
        <v>0</v>
      </c>
      <c r="E37" s="15">
        <f t="shared" si="2"/>
        <v>126541.6</v>
      </c>
      <c r="F37" s="16">
        <f t="shared" si="3"/>
        <v>0</v>
      </c>
      <c r="G37" s="12">
        <f>COUNTIFS(Data!C:C,A37,Data!J:J,"&gt;0")</f>
        <v>0</v>
      </c>
    </row>
    <row r="38" spans="1:7">
      <c r="A38" s="19" t="s">
        <v>39</v>
      </c>
      <c r="B38" s="12">
        <f>COUNTIF(Data!C:C,A38)</f>
        <v>21</v>
      </c>
      <c r="C38" s="15">
        <f>SUMIF(Data!C:C,A38,Data!I:I)</f>
        <v>166932.72500000001</v>
      </c>
      <c r="D38" s="15" cm="1">
        <f t="array" ref="D38">SUMPRODUCT((Data!C$2:C$293=A38)*IF(Data!J$2:J$293="",0,Data!J$2:J$293))</f>
        <v>0</v>
      </c>
      <c r="E38" s="15">
        <f t="shared" si="2"/>
        <v>166932.72500000001</v>
      </c>
      <c r="F38" s="16">
        <f t="shared" si="3"/>
        <v>0</v>
      </c>
      <c r="G38" s="12">
        <f>COUNTIFS(Data!C:C,A38,Data!J:J,"&gt;0")</f>
        <v>0</v>
      </c>
    </row>
    <row r="39" spans="1:7">
      <c r="A39" s="19" t="s">
        <v>40</v>
      </c>
      <c r="B39" s="12">
        <f>COUNTIF(Data!C:C,A39)</f>
        <v>1</v>
      </c>
      <c r="C39" s="15">
        <f>SUMIF(Data!C:C,A39,Data!I:I)</f>
        <v>1593.3500000000001</v>
      </c>
      <c r="D39" s="15" cm="1">
        <f t="array" ref="D39">SUMPRODUCT((Data!C$2:C$293=A39)*IF(Data!J$2:J$293="",0,Data!J$2:J$293))</f>
        <v>0</v>
      </c>
      <c r="E39" s="15">
        <f t="shared" si="2"/>
        <v>1593.3500000000001</v>
      </c>
      <c r="F39" s="16">
        <f t="shared" si="3"/>
        <v>0</v>
      </c>
      <c r="G39" s="12">
        <f>COUNTIFS(Data!C:C,A39,Data!J:J,"&gt;0")</f>
        <v>0</v>
      </c>
    </row>
    <row r="40" spans="1:7">
      <c r="A40" s="19" t="s">
        <v>41</v>
      </c>
      <c r="B40" s="12">
        <f>COUNTIF(Data!C:C,A40)</f>
        <v>7</v>
      </c>
      <c r="C40" s="15">
        <f>SUMIF(Data!C:C,A40,Data!I:I)</f>
        <v>7943.5</v>
      </c>
      <c r="D40" s="15" cm="1">
        <f t="array" ref="D40">SUMPRODUCT((Data!C$2:C$293=A40)*IF(Data!J$2:J$293="",0,Data!J$2:J$293))</f>
        <v>0</v>
      </c>
      <c r="E40" s="15">
        <f t="shared" si="2"/>
        <v>7943.5</v>
      </c>
      <c r="F40" s="16">
        <f t="shared" si="3"/>
        <v>0</v>
      </c>
      <c r="G40" s="12">
        <f>COUNTIFS(Data!C:C,A40,Data!J:J,"&gt;0")</f>
        <v>0</v>
      </c>
    </row>
    <row r="41" spans="1:7">
      <c r="A41" s="19" t="s">
        <v>42</v>
      </c>
      <c r="B41" s="12">
        <f>COUNTIF(Data!C:C,A41)</f>
        <v>7</v>
      </c>
      <c r="C41" s="15">
        <f>SUMIF(Data!C:C,A41,Data!I:I)</f>
        <v>61452.375</v>
      </c>
      <c r="D41" s="15" cm="1">
        <f t="array" ref="D41">SUMPRODUCT((Data!C$2:C$293=A41)*IF(Data!J$2:J$293="",0,Data!J$2:J$293))</f>
        <v>0</v>
      </c>
      <c r="E41" s="15">
        <f t="shared" si="2"/>
        <v>61452.375</v>
      </c>
      <c r="F41" s="16">
        <f t="shared" si="3"/>
        <v>0</v>
      </c>
      <c r="G41" s="12">
        <f>COUNTIFS(Data!C:C,A41,Data!J:J,"&gt;0")</f>
        <v>0</v>
      </c>
    </row>
    <row r="42" spans="1:7">
      <c r="A42" s="19" t="s">
        <v>43</v>
      </c>
      <c r="B42" s="12">
        <f>COUNTIF(Data!C:C,A42)</f>
        <v>15</v>
      </c>
      <c r="C42" s="15">
        <f>SUMIF(Data!C:C,A42,Data!I:I)</f>
        <v>59395.9</v>
      </c>
      <c r="D42" s="15" cm="1">
        <f t="array" ref="D42">SUMPRODUCT((Data!C$2:C$293=A42)*IF(Data!J$2:J$293="",0,Data!J$2:J$293))</f>
        <v>0</v>
      </c>
      <c r="E42" s="15">
        <f t="shared" si="2"/>
        <v>59395.9</v>
      </c>
      <c r="F42" s="16">
        <f t="shared" si="3"/>
        <v>0</v>
      </c>
      <c r="G42" s="12">
        <f>COUNTIFS(Data!C:C,A42,Data!J:J,"&gt;0")</f>
        <v>0</v>
      </c>
    </row>
    <row r="43" spans="1:7">
      <c r="A43" s="19" t="s">
        <v>44</v>
      </c>
      <c r="B43" s="12">
        <f>COUNTIF(Data!C:C,A43)</f>
        <v>2</v>
      </c>
      <c r="C43" s="15">
        <f>SUMIF(Data!C:C,A43,Data!I:I)</f>
        <v>1591.25</v>
      </c>
      <c r="D43" s="15" cm="1">
        <f t="array" ref="D43">SUMPRODUCT((Data!C$2:C$293=A43)*IF(Data!J$2:J$293="",0,Data!J$2:J$293))</f>
        <v>0</v>
      </c>
      <c r="E43" s="15">
        <f t="shared" si="2"/>
        <v>1591.25</v>
      </c>
      <c r="F43" s="16">
        <f t="shared" si="3"/>
        <v>0</v>
      </c>
      <c r="G43" s="12">
        <f>COUNTIFS(Data!C:C,A43,Data!J:J,"&gt;0")</f>
        <v>0</v>
      </c>
    </row>
    <row r="44" spans="1:7">
      <c r="A44" s="19" t="s">
        <v>45</v>
      </c>
      <c r="B44" s="12">
        <f>COUNTIF(Data!C:C,A44)</f>
        <v>2</v>
      </c>
      <c r="C44" s="15">
        <f>SUMIF(Data!C:C,A44,Data!I:I)</f>
        <v>1754.25</v>
      </c>
      <c r="D44" s="15" cm="1">
        <f t="array" ref="D44">SUMPRODUCT((Data!C$2:C$293=A44)*IF(Data!J$2:J$293="",0,Data!J$2:J$293))</f>
        <v>0</v>
      </c>
      <c r="E44" s="15">
        <f t="shared" si="2"/>
        <v>1754.25</v>
      </c>
      <c r="F44" s="16">
        <f t="shared" si="3"/>
        <v>0</v>
      </c>
      <c r="G44" s="12">
        <f>COUNTIFS(Data!C:C,A44,Data!J:J,"&gt;0")</f>
        <v>0</v>
      </c>
    </row>
    <row r="45" spans="1:7">
      <c r="A45" s="19" t="s">
        <v>46</v>
      </c>
      <c r="B45" s="12">
        <f>COUNTIF(Data!C:C,A45)</f>
        <v>12</v>
      </c>
      <c r="C45" s="15">
        <f>SUMIF(Data!C:C,A45,Data!I:I)</f>
        <v>81705.424999999988</v>
      </c>
      <c r="D45" s="15" cm="1">
        <f t="array" ref="D45">SUMPRODUCT((Data!C$2:C$293=A45)*IF(Data!J$2:J$293="",0,Data!J$2:J$293))</f>
        <v>0</v>
      </c>
      <c r="E45" s="15">
        <f t="shared" si="2"/>
        <v>81705.424999999988</v>
      </c>
      <c r="F45" s="16">
        <f t="shared" si="3"/>
        <v>0</v>
      </c>
      <c r="G45" s="12">
        <f>COUNTIFS(Data!C:C,A45,Data!J:J,"&gt;0")</f>
        <v>0</v>
      </c>
    </row>
    <row r="46" spans="1:7">
      <c r="A46" s="19" t="s">
        <v>47</v>
      </c>
      <c r="B46" s="12">
        <f>COUNTIF(Data!C:C,A46)</f>
        <v>1</v>
      </c>
      <c r="C46" s="15">
        <f>SUMIF(Data!C:C,A46,Data!I:I)</f>
        <v>1648.8999999999999</v>
      </c>
      <c r="D46" s="15" cm="1">
        <f t="array" ref="D46">SUMPRODUCT((Data!C$2:C$293=A46)*IF(Data!J$2:J$293="",0,Data!J$2:J$293))</f>
        <v>0</v>
      </c>
      <c r="E46" s="15">
        <f t="shared" si="2"/>
        <v>1648.8999999999999</v>
      </c>
      <c r="F46" s="16">
        <f t="shared" si="3"/>
        <v>0</v>
      </c>
      <c r="G46" s="12">
        <f>COUNTIFS(Data!C:C,A46,Data!J:J,"&gt;0")</f>
        <v>0</v>
      </c>
    </row>
    <row r="47" spans="1:7">
      <c r="A47" s="19" t="s">
        <v>48</v>
      </c>
      <c r="B47" s="12">
        <f>COUNTIF(Data!C:C,A47)</f>
        <v>1</v>
      </c>
      <c r="C47" s="15">
        <f>SUMIF(Data!C:C,A47,Data!I:I)</f>
        <v>901</v>
      </c>
      <c r="D47" s="15" cm="1">
        <f t="array" ref="D47">SUMPRODUCT((Data!C$2:C$293=A47)*IF(Data!J$2:J$293="",0,Data!J$2:J$293))</f>
        <v>0</v>
      </c>
      <c r="E47" s="15">
        <f t="shared" si="2"/>
        <v>901</v>
      </c>
      <c r="F47" s="16">
        <f t="shared" si="3"/>
        <v>0</v>
      </c>
      <c r="G47" s="12">
        <f>COUNTIFS(Data!C:C,A47,Data!J:J,"&gt;0")</f>
        <v>0</v>
      </c>
    </row>
    <row r="48" spans="1:7">
      <c r="A48" s="19" t="s">
        <v>49</v>
      </c>
      <c r="B48" s="12">
        <f>COUNTIF(Data!C:C,A48)</f>
        <v>14</v>
      </c>
      <c r="C48" s="15">
        <f>SUMIF(Data!C:C,A48,Data!I:I)</f>
        <v>82915.125</v>
      </c>
      <c r="D48" s="15" cm="1">
        <f t="array" ref="D48">SUMPRODUCT((Data!C$2:C$293=A48)*IF(Data!J$2:J$293="",0,Data!J$2:J$293))</f>
        <v>0</v>
      </c>
      <c r="E48" s="15">
        <f t="shared" si="2"/>
        <v>82915.125</v>
      </c>
      <c r="F48" s="16">
        <f t="shared" si="3"/>
        <v>0</v>
      </c>
      <c r="G48" s="12">
        <f>COUNTIFS(Data!C:C,A48,Data!J:J,"&gt;0")</f>
        <v>0</v>
      </c>
    </row>
    <row r="49" spans="1:7">
      <c r="A49" s="19" t="s">
        <v>50</v>
      </c>
      <c r="B49" s="12">
        <f>COUNTIF(Data!C:C,A49)</f>
        <v>5</v>
      </c>
      <c r="C49" s="15">
        <f>SUMIF(Data!C:C,A49,Data!I:I)</f>
        <v>29053.425000000003</v>
      </c>
      <c r="D49" s="15" cm="1">
        <f t="array" ref="D49">SUMPRODUCT((Data!C$2:C$293=A49)*IF(Data!J$2:J$293="",0,Data!J$2:J$293))</f>
        <v>0</v>
      </c>
      <c r="E49" s="15">
        <f t="shared" si="2"/>
        <v>29053.425000000003</v>
      </c>
      <c r="F49" s="16">
        <f t="shared" si="3"/>
        <v>0</v>
      </c>
      <c r="G49" s="12">
        <f>COUNTIFS(Data!C:C,A49,Data!J:J,"&gt;0")</f>
        <v>0</v>
      </c>
    </row>
    <row r="50" spans="1:7">
      <c r="A50" s="19" t="s">
        <v>51</v>
      </c>
      <c r="B50" s="12">
        <f>COUNTIF(Data!C:C,A50)</f>
        <v>16</v>
      </c>
      <c r="C50" s="15">
        <f>SUMIF(Data!C:C,A50,Data!I:I)</f>
        <v>107324.95000000001</v>
      </c>
      <c r="D50" s="15" cm="1">
        <f t="array" ref="D50">SUMPRODUCT((Data!C$2:C$293=A50)*IF(Data!J$2:J$293="",0,Data!J$2:J$293))</f>
        <v>7500</v>
      </c>
      <c r="E50" s="15">
        <f t="shared" si="2"/>
        <v>99824.950000000012</v>
      </c>
      <c r="F50" s="16">
        <f t="shared" si="3"/>
        <v>6.9881234512571389E-2</v>
      </c>
      <c r="G50" s="12">
        <f>COUNTIFS(Data!C:C,A50,Data!J:J,"&gt;0")</f>
        <v>1</v>
      </c>
    </row>
    <row r="51" spans="1:7">
      <c r="A51" s="19" t="s">
        <v>52</v>
      </c>
      <c r="B51" s="12">
        <f>COUNTIF(Data!C:C,A51)</f>
        <v>23</v>
      </c>
      <c r="C51" s="15">
        <f>SUMIF(Data!C:C,A51,Data!I:I)</f>
        <v>172310.57500000004</v>
      </c>
      <c r="D51" s="15" cm="1">
        <f t="array" ref="D51">SUMPRODUCT((Data!C$2:C$293=A51)*IF(Data!J$2:J$293="",0,Data!J$2:J$293))</f>
        <v>0</v>
      </c>
      <c r="E51" s="15">
        <f t="shared" si="2"/>
        <v>172310.57500000004</v>
      </c>
      <c r="F51" s="16">
        <f t="shared" si="3"/>
        <v>0</v>
      </c>
      <c r="G51" s="12">
        <f>COUNTIFS(Data!C:C,A51,Data!J:J,"&gt;0")</f>
        <v>0</v>
      </c>
    </row>
    <row r="52" spans="1:7">
      <c r="A52" s="19" t="s">
        <v>53</v>
      </c>
      <c r="B52" s="12">
        <f>COUNTIF(Data!C:C,A52)</f>
        <v>19</v>
      </c>
      <c r="C52" s="15">
        <f>SUMIF(Data!C:C,A52,Data!I:I)</f>
        <v>109201.49999999999</v>
      </c>
      <c r="D52" s="15" cm="1">
        <f t="array" ref="D52">SUMPRODUCT((Data!C$2:C$293=A52)*IF(Data!J$2:J$293="",0,Data!J$2:J$293))</f>
        <v>0</v>
      </c>
      <c r="E52" s="15">
        <f t="shared" si="2"/>
        <v>109201.49999999999</v>
      </c>
      <c r="F52" s="16">
        <f t="shared" si="3"/>
        <v>0</v>
      </c>
      <c r="G52" s="12">
        <f>COUNTIFS(Data!C:C,A52,Data!J:J,"&gt;0")</f>
        <v>0</v>
      </c>
    </row>
    <row r="53" spans="1:7">
      <c r="A53" s="19" t="s">
        <v>54</v>
      </c>
      <c r="B53" s="12">
        <f>COUNTIF(Data!C:C,A53)</f>
        <v>19</v>
      </c>
      <c r="C53" s="15">
        <f>SUMIF(Data!C:C,A53,Data!I:I)</f>
        <v>119783.42499999999</v>
      </c>
      <c r="D53" s="15" cm="1">
        <f t="array" ref="D53">SUMPRODUCT((Data!C$2:C$293=A53)*IF(Data!J$2:J$293="",0,Data!J$2:J$293))</f>
        <v>0</v>
      </c>
      <c r="E53" s="15">
        <f t="shared" si="2"/>
        <v>119783.42499999999</v>
      </c>
      <c r="F53" s="16">
        <f t="shared" si="3"/>
        <v>0</v>
      </c>
      <c r="G53" s="12">
        <f>COUNTIFS(Data!C:C,A53,Data!J:J,"&gt;0")</f>
        <v>0</v>
      </c>
    </row>
    <row r="54" spans="1:7">
      <c r="A54" s="19" t="s">
        <v>55</v>
      </c>
      <c r="B54" s="12">
        <f>COUNTIF(Data!C:C,A54)</f>
        <v>4</v>
      </c>
      <c r="C54" s="15">
        <f>SUMIF(Data!C:C,A54,Data!I:I)</f>
        <v>10572.65</v>
      </c>
      <c r="D54" s="15" cm="1">
        <f t="array" ref="D54">SUMPRODUCT((Data!C$2:C$293=A54)*IF(Data!J$2:J$293="",0,Data!J$2:J$293))</f>
        <v>0</v>
      </c>
      <c r="E54" s="15">
        <f t="shared" si="2"/>
        <v>10572.65</v>
      </c>
      <c r="F54" s="16">
        <f t="shared" si="3"/>
        <v>0</v>
      </c>
      <c r="G54" s="12">
        <f>COUNTIFS(Data!C:C,A54,Data!J:J,"&gt;0")</f>
        <v>0</v>
      </c>
    </row>
    <row r="55" spans="1:7">
      <c r="A55" s="19" t="s">
        <v>56</v>
      </c>
      <c r="B55" s="12">
        <f>COUNTIF(Data!C:C,A55)</f>
        <v>10</v>
      </c>
      <c r="C55" s="15">
        <f>SUMIF(Data!C:C,A55,Data!I:I)</f>
        <v>22199.5</v>
      </c>
      <c r="D55" s="15" cm="1">
        <f t="array" ref="D55">SUMPRODUCT((Data!C$2:C$293=A55)*IF(Data!J$2:J$293="",0,Data!J$2:J$293))</f>
        <v>0</v>
      </c>
      <c r="E55" s="15">
        <f t="shared" si="2"/>
        <v>22199.5</v>
      </c>
      <c r="F55" s="16">
        <f t="shared" si="3"/>
        <v>0</v>
      </c>
      <c r="G55" s="12">
        <f>COUNTIFS(Data!C:C,A55,Data!J:J,"&gt;0")</f>
        <v>0</v>
      </c>
    </row>
    <row r="56" spans="1:7">
      <c r="A56" s="19" t="s">
        <v>57</v>
      </c>
      <c r="B56" s="12">
        <f>COUNTIF(Data!C:C,A56)</f>
        <v>10</v>
      </c>
      <c r="C56" s="15">
        <f>SUMIF(Data!C:C,A56,Data!I:I)</f>
        <v>44003.574999999997</v>
      </c>
      <c r="D56" s="15" cm="1">
        <f t="array" ref="D56">SUMPRODUCT((Data!C$2:C$293=A56)*IF(Data!J$2:J$293="",0,Data!J$2:J$293))</f>
        <v>0</v>
      </c>
      <c r="E56" s="15">
        <f t="shared" si="2"/>
        <v>44003.574999999997</v>
      </c>
      <c r="F56" s="16">
        <f t="shared" si="3"/>
        <v>0</v>
      </c>
      <c r="G56" s="12">
        <f>COUNTIFS(Data!C:C,A56,Data!J:J,"&gt;0")</f>
        <v>0</v>
      </c>
    </row>
    <row r="57" spans="1:7">
      <c r="A57" s="19" t="s">
        <v>58</v>
      </c>
      <c r="B57" s="12">
        <f>COUNTIF(Data!C:C,A57)</f>
        <v>12</v>
      </c>
      <c r="C57" s="15">
        <f>SUMIF(Data!C:C,A57,Data!I:I)</f>
        <v>20286.625</v>
      </c>
      <c r="D57" s="15" cm="1">
        <f t="array" ref="D57">SUMPRODUCT((Data!C$2:C$293=A57)*IF(Data!J$2:J$293="",0,Data!J$2:J$293))</f>
        <v>0</v>
      </c>
      <c r="E57" s="15">
        <f t="shared" si="2"/>
        <v>20286.625</v>
      </c>
      <c r="F57" s="16">
        <f t="shared" si="3"/>
        <v>0</v>
      </c>
      <c r="G57" s="12">
        <f>COUNTIFS(Data!C:C,A57,Data!J:J,"&gt;0")</f>
        <v>0</v>
      </c>
    </row>
    <row r="58" spans="1:7">
      <c r="A58" s="19" t="s">
        <v>59</v>
      </c>
      <c r="B58" s="12">
        <f>COUNTIF(Data!C:C,A58)</f>
        <v>13</v>
      </c>
      <c r="C58" s="15">
        <f>SUMIF(Data!C:C,A58,Data!I:I)</f>
        <v>23884.850000000002</v>
      </c>
      <c r="D58" s="15" cm="1">
        <f t="array" ref="D58">SUMPRODUCT((Data!C$2:C$293=A58)*IF(Data!J$2:J$293="",0,Data!J$2:J$293))</f>
        <v>0</v>
      </c>
      <c r="E58" s="15">
        <f t="shared" si="2"/>
        <v>23884.850000000002</v>
      </c>
      <c r="F58" s="16">
        <f t="shared" si="3"/>
        <v>0</v>
      </c>
      <c r="G58" s="12">
        <f>COUNTIFS(Data!C:C,A58,Data!J:J,"&gt;0")</f>
        <v>0</v>
      </c>
    </row>
    <row r="59" spans="1:7">
      <c r="A59" s="19" t="s">
        <v>60</v>
      </c>
      <c r="B59" s="12">
        <f>COUNTIF(Data!C:C,A59)</f>
        <v>2</v>
      </c>
      <c r="C59" s="15">
        <f>SUMIF(Data!C:C,A59,Data!I:I)</f>
        <v>7631.2750000000015</v>
      </c>
      <c r="D59" s="15" cm="1">
        <f t="array" ref="D59">SUMPRODUCT((Data!C$2:C$293=A59)*IF(Data!J$2:J$293="",0,Data!J$2:J$293))</f>
        <v>0</v>
      </c>
      <c r="E59" s="15">
        <f t="shared" si="2"/>
        <v>7631.2750000000015</v>
      </c>
      <c r="F59" s="16">
        <f t="shared" si="3"/>
        <v>0</v>
      </c>
      <c r="G59" s="12">
        <f>COUNTIFS(Data!C:C,A59,Data!J:J,"&gt;0")</f>
        <v>0</v>
      </c>
    </row>
    <row r="60" spans="1:7">
      <c r="A60" s="19" t="s">
        <v>61</v>
      </c>
      <c r="B60" s="12">
        <f>COUNTIF(Data!C:C,A60)</f>
        <v>4</v>
      </c>
      <c r="C60" s="15">
        <f>SUMIF(Data!C:C,A60,Data!I:I)</f>
        <v>6543.6500000000005</v>
      </c>
      <c r="D60" s="15" cm="1">
        <f t="array" ref="D60">SUMPRODUCT((Data!C$2:C$293=A60)*IF(Data!J$2:J$293="",0,Data!J$2:J$293))</f>
        <v>0</v>
      </c>
      <c r="E60" s="15">
        <f t="shared" si="2"/>
        <v>6543.6500000000005</v>
      </c>
      <c r="F60" s="16">
        <f t="shared" si="3"/>
        <v>0</v>
      </c>
      <c r="G60" s="12">
        <f>COUNTIFS(Data!C:C,A60,Data!J:J,"&gt;0")</f>
        <v>0</v>
      </c>
    </row>
    <row r="61" spans="1:7">
      <c r="A61" s="19" t="s">
        <v>62</v>
      </c>
      <c r="B61" s="12">
        <f>COUNTIF(Data!C:C,A61)</f>
        <v>1</v>
      </c>
      <c r="C61" s="15">
        <f>SUMIF(Data!C:C,A61,Data!I:I)</f>
        <v>777</v>
      </c>
      <c r="D61" s="15" cm="1">
        <f t="array" ref="D61">SUMPRODUCT((Data!C$2:C$293=A61)*IF(Data!J$2:J$293="",0,Data!J$2:J$293))</f>
        <v>0</v>
      </c>
      <c r="E61" s="15">
        <f t="shared" si="2"/>
        <v>777</v>
      </c>
      <c r="F61" s="16">
        <f t="shared" si="3"/>
        <v>0</v>
      </c>
      <c r="G61" s="12">
        <f>COUNTIFS(Data!C:C,A61,Data!J:J,"&gt;0")</f>
        <v>0</v>
      </c>
    </row>
    <row r="62" spans="1:7">
      <c r="A62" s="19" t="s">
        <v>63</v>
      </c>
      <c r="B62" s="12">
        <f>COUNTIF(Data!C:C,A62)</f>
        <v>11</v>
      </c>
      <c r="C62" s="15">
        <f>SUMIF(Data!C:C,A62,Data!I:I)</f>
        <v>29686.400000000001</v>
      </c>
      <c r="D62" s="15" cm="1">
        <f t="array" ref="D62">SUMPRODUCT((Data!C$2:C$293=A62)*IF(Data!J$2:J$293="",0,Data!J$2:J$293))</f>
        <v>0</v>
      </c>
      <c r="E62" s="15">
        <f t="shared" si="2"/>
        <v>29686.400000000001</v>
      </c>
      <c r="F62" s="16">
        <f t="shared" si="3"/>
        <v>0</v>
      </c>
      <c r="G62" s="12">
        <f>COUNTIFS(Data!C:C,A62,Data!J:J,"&gt;0")</f>
        <v>0</v>
      </c>
    </row>
    <row r="63" spans="1:7">
      <c r="A63" s="19" t="s">
        <v>64</v>
      </c>
      <c r="B63" s="12">
        <f>COUNTIF(Data!C:C,A63)</f>
        <v>1</v>
      </c>
      <c r="C63" s="15">
        <f>SUMIF(Data!C:C,A63,Data!I:I)</f>
        <v>1075</v>
      </c>
      <c r="D63" s="15" cm="1">
        <f t="array" ref="D63">SUMPRODUCT((Data!C$2:C$293=A63)*IF(Data!J$2:J$293="",0,Data!J$2:J$293))</f>
        <v>0</v>
      </c>
      <c r="E63" s="15">
        <f t="shared" si="2"/>
        <v>1075</v>
      </c>
      <c r="F63" s="16">
        <f t="shared" si="3"/>
        <v>0</v>
      </c>
      <c r="G63" s="12">
        <f>COUNTIFS(Data!C:C,A63,Data!J:J,"&gt;0")</f>
        <v>0</v>
      </c>
    </row>
    <row r="64" spans="1:7">
      <c r="A64" s="19" t="s">
        <v>65</v>
      </c>
      <c r="B64" s="12">
        <f>COUNTIF(Data!C:C,A64)</f>
        <v>1</v>
      </c>
      <c r="C64" s="15">
        <f>SUMIF(Data!C:C,A64,Data!I:I)</f>
        <v>826.5</v>
      </c>
      <c r="D64" s="15" cm="1">
        <f t="array" ref="D64">SUMPRODUCT((Data!C$2:C$293=A64)*IF(Data!J$2:J$293="",0,Data!J$2:J$293))</f>
        <v>0</v>
      </c>
      <c r="E64" s="15">
        <f t="shared" si="2"/>
        <v>826.5</v>
      </c>
      <c r="F64" s="16">
        <f t="shared" si="3"/>
        <v>0</v>
      </c>
      <c r="G64" s="12">
        <f>COUNTIFS(Data!C:C,A64,Data!J:J,"&gt;0")</f>
        <v>0</v>
      </c>
    </row>
    <row r="65" spans="1:7">
      <c r="A65" s="29" t="s">
        <v>12</v>
      </c>
      <c r="B65" s="14">
        <f>SUM(B31:B64)</f>
        <v>292</v>
      </c>
      <c r="C65" s="17">
        <f>SUM(C31:C64)</f>
        <v>1411772.8249999997</v>
      </c>
      <c r="D65" s="17">
        <f>SUM(D31:D64)</f>
        <v>13506</v>
      </c>
      <c r="E65" s="17">
        <f>SUM(E31:E64)</f>
        <v>1398266.8249999997</v>
      </c>
      <c r="F65" s="18">
        <f>IF(C65=0,"",D65/C65)</f>
        <v>9.5666949815385507E-3</v>
      </c>
      <c r="G65" s="14">
        <f>SUM(G31:G64)</f>
        <v>2</v>
      </c>
    </row>
    <row r="67" spans="1:7" ht="15.75">
      <c r="A67" s="34" t="s">
        <v>66</v>
      </c>
      <c r="B67" s="34"/>
      <c r="C67" s="34"/>
      <c r="D67" s="34"/>
      <c r="E67" s="34"/>
      <c r="F67" s="34"/>
      <c r="G67" s="34"/>
    </row>
    <row r="68" spans="1:7">
      <c r="A68" s="29" t="s">
        <v>67</v>
      </c>
      <c r="B68" s="14" t="s">
        <v>68</v>
      </c>
      <c r="C68" s="14" t="s">
        <v>69</v>
      </c>
      <c r="D68" s="14" t="s">
        <v>70</v>
      </c>
      <c r="E68" s="14" t="s">
        <v>71</v>
      </c>
    </row>
    <row r="69" spans="1:7">
      <c r="A69" s="19" t="s">
        <v>72</v>
      </c>
      <c r="B69" s="19" t="s">
        <v>73</v>
      </c>
      <c r="C69" s="15">
        <v>750</v>
      </c>
      <c r="D69" s="12">
        <f>COUNTIF(Data!AA:AA,"A")</f>
        <v>153</v>
      </c>
      <c r="E69" s="16">
        <f>IF(D69=0,"",D69/$B$8)</f>
        <v>0.52397260273972601</v>
      </c>
    </row>
    <row r="70" spans="1:7">
      <c r="A70" s="19" t="s">
        <v>74</v>
      </c>
      <c r="B70" s="19" t="s">
        <v>75</v>
      </c>
      <c r="C70" s="15">
        <v>3000</v>
      </c>
      <c r="D70" s="12">
        <f>COUNTIF(Data!AA:AA,"B")</f>
        <v>31</v>
      </c>
      <c r="E70" s="16">
        <f>IF(D70=0,"",D70/$B$8)</f>
        <v>0.10616438356164383</v>
      </c>
    </row>
    <row r="71" spans="1:7">
      <c r="A71" s="19" t="s">
        <v>76</v>
      </c>
      <c r="B71" s="19" t="s">
        <v>77</v>
      </c>
      <c r="C71" s="15">
        <v>4200</v>
      </c>
      <c r="D71" s="12">
        <f>COUNTIF(Data!AA:AA,"C")</f>
        <v>30</v>
      </c>
      <c r="E71" s="16">
        <f>IF(D71=0,"",D71/$B$8)</f>
        <v>0.10273972602739725</v>
      </c>
    </row>
    <row r="72" spans="1:7">
      <c r="A72" s="19" t="s">
        <v>78</v>
      </c>
      <c r="B72" s="19" t="s">
        <v>79</v>
      </c>
      <c r="C72" s="15">
        <v>6800</v>
      </c>
      <c r="D72" s="12">
        <f>COUNTIF(Data!AA:AA,"D")</f>
        <v>0</v>
      </c>
      <c r="E72" s="16" t="str">
        <f>IF(D72=0,"",D72/$B$8)</f>
        <v/>
      </c>
    </row>
    <row r="73" spans="1:7">
      <c r="A73" s="19" t="s">
        <v>80</v>
      </c>
      <c r="B73" s="19" t="s">
        <v>81</v>
      </c>
      <c r="C73" s="15">
        <v>7500</v>
      </c>
      <c r="D73" s="12">
        <f>COUNTIF(Data!AA:AA,"E")</f>
        <v>78</v>
      </c>
      <c r="E73" s="16">
        <f>IF(D73=0,"",D73/$B$8)</f>
        <v>0.26712328767123289</v>
      </c>
    </row>
    <row r="74" spans="1:7">
      <c r="A74" s="19" t="s">
        <v>82</v>
      </c>
      <c r="B74" s="19" t="s">
        <v>83</v>
      </c>
      <c r="C74" s="12" t="s">
        <v>84</v>
      </c>
      <c r="D74" s="12">
        <f>COUNTIF(Data!AA:AA,"Below Slab")</f>
        <v>0</v>
      </c>
      <c r="E74" s="16" t="str">
        <f>IF(D74=0,"",D74/$B$8)</f>
        <v/>
      </c>
    </row>
    <row r="75" spans="1:7">
      <c r="A75" s="29" t="s">
        <v>12</v>
      </c>
      <c r="B75" s="12"/>
      <c r="C75" s="12"/>
      <c r="D75" s="14">
        <f>SUM(D69:D74)</f>
        <v>292</v>
      </c>
      <c r="E75" s="18">
        <f>SUM(E69:E74)</f>
        <v>1</v>
      </c>
    </row>
  </sheetData>
  <mergeCells count="5">
    <mergeCell ref="A1:G1"/>
    <mergeCell ref="A3:G3"/>
    <mergeCell ref="A10:G10"/>
    <mergeCell ref="A29:G29"/>
    <mergeCell ref="A67:G6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293"/>
  <sheetViews>
    <sheetView tabSelected="1" workbookViewId="0"/>
  </sheetViews>
  <sheetFormatPr defaultRowHeight="15"/>
  <cols>
    <col min="1" max="1" width="23.7109375" style="24" bestFit="1" customWidth="1"/>
    <col min="2" max="2" width="51" style="26" bestFit="1" customWidth="1"/>
    <col min="3" max="3" width="41.28515625" style="26" bestFit="1" customWidth="1"/>
    <col min="4" max="4" width="21.7109375" style="24" bestFit="1" customWidth="1"/>
    <col min="5" max="5" width="24.7109375" style="24" bestFit="1" customWidth="1"/>
    <col min="6" max="6" width="18.7109375" style="24" customWidth="1"/>
    <col min="7" max="7" width="8.7109375" style="24" customWidth="1"/>
    <col min="8" max="8" width="18" style="24" customWidth="1"/>
    <col min="9" max="9" width="13.5703125" style="24" bestFit="1" customWidth="1"/>
    <col min="10" max="10" width="15.7109375" style="24" customWidth="1"/>
    <col min="11" max="11" width="13.5703125" style="24" customWidth="1"/>
    <col min="12" max="12" width="35.85546875" hidden="1" customWidth="1"/>
    <col min="13" max="19" width="38.140625" style="24" customWidth="1"/>
    <col min="20" max="25" width="12.140625" style="24" bestFit="1" customWidth="1"/>
    <col min="26" max="26" width="12.140625" style="24" customWidth="1"/>
    <col min="27" max="27" width="15.28515625" style="24" customWidth="1"/>
    <col min="28" max="28" width="38.140625" style="26" customWidth="1"/>
    <col min="29" max="16384" width="9.140625" style="24"/>
  </cols>
  <sheetData>
    <row r="1" spans="1:28" ht="36" customHeight="1">
      <c r="A1" s="3" t="s">
        <v>85</v>
      </c>
      <c r="B1" s="20" t="s">
        <v>86</v>
      </c>
      <c r="C1" s="20" t="s">
        <v>87</v>
      </c>
      <c r="D1" s="3" t="s">
        <v>88</v>
      </c>
      <c r="E1" s="3" t="s">
        <v>89</v>
      </c>
      <c r="F1" s="22" t="s">
        <v>90</v>
      </c>
      <c r="G1" s="3" t="s">
        <v>2</v>
      </c>
      <c r="H1" s="22" t="s">
        <v>91</v>
      </c>
      <c r="I1" s="3" t="s">
        <v>92</v>
      </c>
      <c r="J1" s="3" t="s">
        <v>93</v>
      </c>
      <c r="K1" s="13" t="s">
        <v>94</v>
      </c>
      <c r="L1" s="3" t="s">
        <v>95</v>
      </c>
      <c r="M1" s="13" t="s">
        <v>96</v>
      </c>
      <c r="N1" s="13" t="s">
        <v>97</v>
      </c>
      <c r="O1" s="13" t="s">
        <v>98</v>
      </c>
      <c r="P1" s="13" t="s">
        <v>99</v>
      </c>
      <c r="Q1" s="13" t="s">
        <v>100</v>
      </c>
      <c r="R1" s="13" t="s">
        <v>101</v>
      </c>
      <c r="S1" s="32" t="s">
        <v>102</v>
      </c>
      <c r="T1" s="13" t="s">
        <v>103</v>
      </c>
      <c r="U1" s="13" t="s">
        <v>104</v>
      </c>
      <c r="V1" s="13" t="s">
        <v>105</v>
      </c>
      <c r="W1" s="13" t="s">
        <v>106</v>
      </c>
      <c r="X1" s="13" t="s">
        <v>107</v>
      </c>
      <c r="Y1" s="13" t="s">
        <v>108</v>
      </c>
      <c r="Z1" s="32" t="s">
        <v>109</v>
      </c>
      <c r="AA1" s="13" t="s">
        <v>110</v>
      </c>
      <c r="AB1" s="30" t="s">
        <v>111</v>
      </c>
    </row>
    <row r="2" spans="1:28" customFormat="1">
      <c r="A2" s="1" t="s">
        <v>112</v>
      </c>
      <c r="B2" s="21" t="s">
        <v>113</v>
      </c>
      <c r="C2" s="21" t="s">
        <v>37</v>
      </c>
      <c r="D2" s="1" t="s">
        <v>16</v>
      </c>
      <c r="E2" s="1" t="s">
        <v>114</v>
      </c>
      <c r="F2" s="1" t="s">
        <v>115</v>
      </c>
      <c r="G2" s="1" t="s">
        <v>10</v>
      </c>
      <c r="H2" s="23">
        <v>200</v>
      </c>
      <c r="I2" s="23">
        <v>7500</v>
      </c>
      <c r="J2" s="2" t="str">
        <f>IF(SUM(T2:Z2)=0,"",SUM(T2:Z2))</f>
        <v/>
      </c>
      <c r="K2" s="2" t="str">
        <f>IF(J2="","",I2-J2)</f>
        <v/>
      </c>
      <c r="L2" s="1" t="s">
        <v>81</v>
      </c>
      <c r="M2" s="12"/>
      <c r="N2" s="12"/>
      <c r="O2" s="12"/>
      <c r="P2" s="12"/>
      <c r="Q2" s="12"/>
      <c r="R2" s="12"/>
      <c r="S2" s="12"/>
      <c r="T2" s="12">
        <f>IF(M2="",0,INDEX(Sheet2!A$2:A$6,MATCH(M2,Sheet2!C$2:C$6,0)))</f>
        <v>0</v>
      </c>
      <c r="U2" s="12">
        <f>IF(N2="",0,INDEX(Sheet2!A$2:A$6,MATCH(N2,Sheet2!C$2:C$6,0)))</f>
        <v>0</v>
      </c>
      <c r="V2" s="12">
        <f>IF(O2="",0,INDEX(Sheet2!A$2:A$6,MATCH(O2,Sheet2!C$2:C$6,0)))</f>
        <v>0</v>
      </c>
      <c r="W2" s="12">
        <f>IF(P2="",0,INDEX(Sheet2!A$2:A$6,MATCH(P2,Sheet2!C$2:C$6,0)))</f>
        <v>0</v>
      </c>
      <c r="X2" s="12">
        <f>IF(Q2="",0,INDEX(Sheet2!A$2:A$6,MATCH(Q2,Sheet2!C$2:C$6,0)))</f>
        <v>0</v>
      </c>
      <c r="Y2" s="12">
        <f>IF(R2="",0,INDEX(Sheet2!A$2:A$6,MATCH(R2,Sheet2!C$2:C$6,0)))</f>
        <v>0</v>
      </c>
      <c r="Z2" s="12">
        <f>IF(S2="Yes",I2-SUM(T2:Y2),0)</f>
        <v>0</v>
      </c>
      <c r="AA2" s="12" t="str">
        <f>IF(I2&gt;=7500,"E",IF(I2&gt;=6800,"D",IF(I2&gt;=4200,"C",IF(I2&gt;=3000,"B",IF(I2&gt;=750,"A","Below Slab")))))</f>
        <v>E</v>
      </c>
      <c r="AB2" s="19" t="str">
        <f>IF(I2&gt;=7500,"Samsung front-load washing machine",IF(I2&gt;=6800,"Apple iPad",IF(I2&gt;=4200,"Robot Vacuum cleaner",IF(I2&gt;=3000,"Sony - sound bar, woofer and speakers",IF(I2&gt;=750,"Foot massager","Not eligible")))))</f>
        <v>Samsung front-load washing machine</v>
      </c>
    </row>
    <row r="3" spans="1:28" customFormat="1">
      <c r="A3" s="1" t="s">
        <v>116</v>
      </c>
      <c r="B3" s="21" t="s">
        <v>117</v>
      </c>
      <c r="C3" s="21" t="s">
        <v>53</v>
      </c>
      <c r="D3" s="1" t="s">
        <v>16</v>
      </c>
      <c r="E3" s="1" t="s">
        <v>114</v>
      </c>
      <c r="F3" s="1" t="s">
        <v>115</v>
      </c>
      <c r="G3" s="1" t="s">
        <v>10</v>
      </c>
      <c r="H3" s="23">
        <v>30.1</v>
      </c>
      <c r="I3" s="23">
        <v>752.5</v>
      </c>
      <c r="J3" s="2" t="str">
        <f t="shared" ref="J3:J66" si="0">IF(SUM(T3:Z3)=0,"",SUM(T3:Z3))</f>
        <v/>
      </c>
      <c r="K3" s="2" t="str">
        <f>IF(J3="","",I3-J3)</f>
        <v/>
      </c>
      <c r="L3" s="1" t="s">
        <v>73</v>
      </c>
      <c r="M3" s="12"/>
      <c r="N3" s="12"/>
      <c r="O3" s="12"/>
      <c r="P3" s="12"/>
      <c r="Q3" s="12"/>
      <c r="R3" s="12"/>
      <c r="S3" s="12"/>
      <c r="T3" s="12">
        <f>IF(M3="",0,INDEX(Sheet2!A$2:A$6,MATCH(M3,Sheet2!C$2:C$6,0)))</f>
        <v>0</v>
      </c>
      <c r="U3" s="12">
        <f>IF(N3="",0,INDEX(Sheet2!A$2:A$6,MATCH(N3,Sheet2!C$2:C$6,0)))</f>
        <v>0</v>
      </c>
      <c r="V3" s="12">
        <f>IF(O3="",0,INDEX(Sheet2!A$2:A$6,MATCH(O3,Sheet2!C$2:C$6,0)))</f>
        <v>0</v>
      </c>
      <c r="W3" s="12">
        <f>IF(P3="",0,INDEX(Sheet2!A$2:A$6,MATCH(P3,Sheet2!C$2:C$6,0)))</f>
        <v>0</v>
      </c>
      <c r="X3" s="12">
        <f>IF(Q3="",0,INDEX(Sheet2!A$2:A$6,MATCH(Q3,Sheet2!C$2:C$6,0)))</f>
        <v>0</v>
      </c>
      <c r="Y3" s="12">
        <f>IF(R3="",0,INDEX(Sheet2!A$2:A$6,MATCH(R3,Sheet2!C$2:C$6,0)))</f>
        <v>0</v>
      </c>
      <c r="Z3" s="12">
        <f t="shared" ref="Z3:Z66" si="1">IF(S3="Yes",I3-SUM(T3:Y3),0)</f>
        <v>0</v>
      </c>
      <c r="AA3" s="12" t="str">
        <f>IF(I3&gt;=7500,"E",IF(I3&gt;=6800,"D",IF(I3&gt;=4200,"C",IF(I3&gt;=3000,"B",IF(I3&gt;=750,"A","Below Slab")))))</f>
        <v>A</v>
      </c>
      <c r="AB3" s="19" t="str">
        <f>IF(I3&gt;=7500,"Samsung front-load washing machine",IF(I3&gt;=6800,"Apple iPad",IF(I3&gt;=4200,"Robot Vacuum cleaner",IF(I3&gt;=3000,"Sony - sound bar, woofer and speakers",IF(I3&gt;=750,"Foot massager","Not eligible")))))</f>
        <v>Foot massager</v>
      </c>
    </row>
    <row r="4" spans="1:28" customFormat="1">
      <c r="A4" s="1" t="s">
        <v>118</v>
      </c>
      <c r="B4" s="21" t="s">
        <v>119</v>
      </c>
      <c r="C4" s="21" t="s">
        <v>37</v>
      </c>
      <c r="D4" s="1" t="s">
        <v>22</v>
      </c>
      <c r="E4" s="1" t="s">
        <v>120</v>
      </c>
      <c r="F4" s="1" t="s">
        <v>115</v>
      </c>
      <c r="G4" s="1" t="s">
        <v>10</v>
      </c>
      <c r="H4" s="23">
        <v>207.52</v>
      </c>
      <c r="I4" s="23">
        <v>7782</v>
      </c>
      <c r="J4" s="2" t="str">
        <f t="shared" si="0"/>
        <v/>
      </c>
      <c r="K4" s="2" t="str">
        <f>IF(J4="","",I4-J4)</f>
        <v/>
      </c>
      <c r="L4" s="1" t="s">
        <v>81</v>
      </c>
      <c r="M4" s="12"/>
      <c r="N4" s="12"/>
      <c r="O4" s="12"/>
      <c r="P4" s="12"/>
      <c r="Q4" s="12"/>
      <c r="R4" s="12"/>
      <c r="S4" s="12"/>
      <c r="T4" s="12">
        <f>IF(M4="",0,INDEX(Sheet2!A$2:A$6,MATCH(M4,Sheet2!C$2:C$6,0)))</f>
        <v>0</v>
      </c>
      <c r="U4" s="12">
        <f>IF(N4="",0,INDEX(Sheet2!A$2:A$6,MATCH(N4,Sheet2!C$2:C$6,0)))</f>
        <v>0</v>
      </c>
      <c r="V4" s="12">
        <f>IF(O4="",0,INDEX(Sheet2!A$2:A$6,MATCH(O4,Sheet2!C$2:C$6,0)))</f>
        <v>0</v>
      </c>
      <c r="W4" s="12">
        <f>IF(P4="",0,INDEX(Sheet2!A$2:A$6,MATCH(P4,Sheet2!C$2:C$6,0)))</f>
        <v>0</v>
      </c>
      <c r="X4" s="12">
        <f>IF(Q4="",0,INDEX(Sheet2!A$2:A$6,MATCH(Q4,Sheet2!C$2:C$6,0)))</f>
        <v>0</v>
      </c>
      <c r="Y4" s="12">
        <f>IF(R4="",0,INDEX(Sheet2!A$2:A$6,MATCH(R4,Sheet2!C$2:C$6,0)))</f>
        <v>0</v>
      </c>
      <c r="Z4" s="12">
        <f t="shared" si="1"/>
        <v>0</v>
      </c>
      <c r="AA4" s="12" t="str">
        <f>IF(I4&gt;=7500,"E",IF(I4&gt;=6800,"D",IF(I4&gt;=4200,"C",IF(I4&gt;=3000,"B",IF(I4&gt;=750,"A","Below Slab")))))</f>
        <v>E</v>
      </c>
      <c r="AB4" s="19" t="str">
        <f>IF(I4&gt;=7500,"Samsung front-load washing machine",IF(I4&gt;=6800,"Apple iPad",IF(I4&gt;=4200,"Robot Vacuum cleaner",IF(I4&gt;=3000,"Sony - sound bar, woofer and speakers",IF(I4&gt;=750,"Foot massager","Not eligible")))))</f>
        <v>Samsung front-load washing machine</v>
      </c>
    </row>
    <row r="5" spans="1:28" customFormat="1">
      <c r="A5" s="1" t="s">
        <v>121</v>
      </c>
      <c r="B5" s="21" t="s">
        <v>122</v>
      </c>
      <c r="C5" s="21" t="s">
        <v>37</v>
      </c>
      <c r="D5" s="1" t="s">
        <v>22</v>
      </c>
      <c r="E5" s="1" t="s">
        <v>123</v>
      </c>
      <c r="F5" s="1" t="s">
        <v>115</v>
      </c>
      <c r="G5" s="1" t="s">
        <v>10</v>
      </c>
      <c r="H5" s="23">
        <v>274.52</v>
      </c>
      <c r="I5" s="23">
        <v>10294.5</v>
      </c>
      <c r="J5" s="2" t="str">
        <f t="shared" si="0"/>
        <v/>
      </c>
      <c r="K5" s="2" t="str">
        <f>IF(J5="","",I5-J5)</f>
        <v/>
      </c>
      <c r="L5" s="1" t="s">
        <v>81</v>
      </c>
      <c r="M5" s="12"/>
      <c r="N5" s="12"/>
      <c r="O5" s="12"/>
      <c r="P5" s="12"/>
      <c r="Q5" s="12"/>
      <c r="R5" s="12"/>
      <c r="S5" s="12"/>
      <c r="T5" s="12">
        <f>IF(M5="",0,INDEX(Sheet2!A$2:A$6,MATCH(M5,Sheet2!C$2:C$6,0)))</f>
        <v>0</v>
      </c>
      <c r="U5" s="12">
        <f>IF(N5="",0,INDEX(Sheet2!A$2:A$6,MATCH(N5,Sheet2!C$2:C$6,0)))</f>
        <v>0</v>
      </c>
      <c r="V5" s="12">
        <f>IF(O5="",0,INDEX(Sheet2!A$2:A$6,MATCH(O5,Sheet2!C$2:C$6,0)))</f>
        <v>0</v>
      </c>
      <c r="W5" s="12">
        <f>IF(P5="",0,INDEX(Sheet2!A$2:A$6,MATCH(P5,Sheet2!C$2:C$6,0)))</f>
        <v>0</v>
      </c>
      <c r="X5" s="12">
        <f>IF(Q5="",0,INDEX(Sheet2!A$2:A$6,MATCH(Q5,Sheet2!C$2:C$6,0)))</f>
        <v>0</v>
      </c>
      <c r="Y5" s="12">
        <f>IF(R5="",0,INDEX(Sheet2!A$2:A$6,MATCH(R5,Sheet2!C$2:C$6,0)))</f>
        <v>0</v>
      </c>
      <c r="Z5" s="12">
        <f t="shared" si="1"/>
        <v>0</v>
      </c>
      <c r="AA5" s="12" t="str">
        <f>IF(I5&gt;=7500,"E",IF(I5&gt;=6800,"D",IF(I5&gt;=4200,"C",IF(I5&gt;=3000,"B",IF(I5&gt;=750,"A","Below Slab")))))</f>
        <v>E</v>
      </c>
      <c r="AB5" s="19" t="str">
        <f>IF(I5&gt;=7500,"Samsung front-load washing machine",IF(I5&gt;=6800,"Apple iPad",IF(I5&gt;=4200,"Robot Vacuum cleaner",IF(I5&gt;=3000,"Sony - sound bar, woofer and speakers",IF(I5&gt;=750,"Foot massager","Not eligible")))))</f>
        <v>Samsung front-load washing machine</v>
      </c>
    </row>
    <row r="6" spans="1:28" customFormat="1">
      <c r="A6" s="1" t="s">
        <v>124</v>
      </c>
      <c r="B6" s="21" t="s">
        <v>125</v>
      </c>
      <c r="C6" s="21" t="s">
        <v>37</v>
      </c>
      <c r="D6" s="1" t="s">
        <v>22</v>
      </c>
      <c r="E6" s="1" t="s">
        <v>126</v>
      </c>
      <c r="F6" s="1" t="s">
        <v>115</v>
      </c>
      <c r="G6" s="1" t="s">
        <v>10</v>
      </c>
      <c r="H6" s="23">
        <v>93.59</v>
      </c>
      <c r="I6" s="23">
        <v>2573.7250000000004</v>
      </c>
      <c r="J6" s="2" t="str">
        <f t="shared" si="0"/>
        <v/>
      </c>
      <c r="K6" s="2" t="str">
        <f>IF(J6="","",I6-J6)</f>
        <v/>
      </c>
      <c r="L6" s="1" t="s">
        <v>73</v>
      </c>
      <c r="M6" s="12"/>
      <c r="N6" s="12"/>
      <c r="O6" s="12"/>
      <c r="P6" s="12"/>
      <c r="Q6" s="12"/>
      <c r="R6" s="12"/>
      <c r="S6" s="12"/>
      <c r="T6" s="12">
        <f>IF(M6="",0,INDEX(Sheet2!A$2:A$6,MATCH(M6,Sheet2!C$2:C$6,0)))</f>
        <v>0</v>
      </c>
      <c r="U6" s="12">
        <f>IF(N6="",0,INDEX(Sheet2!A$2:A$6,MATCH(N6,Sheet2!C$2:C$6,0)))</f>
        <v>0</v>
      </c>
      <c r="V6" s="12">
        <f>IF(O6="",0,INDEX(Sheet2!A$2:A$6,MATCH(O6,Sheet2!C$2:C$6,0)))</f>
        <v>0</v>
      </c>
      <c r="W6" s="12">
        <f>IF(P6="",0,INDEX(Sheet2!A$2:A$6,MATCH(P6,Sheet2!C$2:C$6,0)))</f>
        <v>0</v>
      </c>
      <c r="X6" s="12">
        <f>IF(Q6="",0,INDEX(Sheet2!A$2:A$6,MATCH(Q6,Sheet2!C$2:C$6,0)))</f>
        <v>0</v>
      </c>
      <c r="Y6" s="12">
        <f>IF(R6="",0,INDEX(Sheet2!A$2:A$6,MATCH(R6,Sheet2!C$2:C$6,0)))</f>
        <v>0</v>
      </c>
      <c r="Z6" s="12">
        <f t="shared" si="1"/>
        <v>0</v>
      </c>
      <c r="AA6" s="12" t="str">
        <f>IF(I6&gt;=7500,"E",IF(I6&gt;=6800,"D",IF(I6&gt;=4200,"C",IF(I6&gt;=3000,"B",IF(I6&gt;=750,"A","Below Slab")))))</f>
        <v>A</v>
      </c>
      <c r="AB6" s="19" t="str">
        <f>IF(I6&gt;=7500,"Samsung front-load washing machine",IF(I6&gt;=6800,"Apple iPad",IF(I6&gt;=4200,"Robot Vacuum cleaner",IF(I6&gt;=3000,"Sony - sound bar, woofer and speakers",IF(I6&gt;=750,"Foot massager","Not eligible")))))</f>
        <v>Foot massager</v>
      </c>
    </row>
    <row r="7" spans="1:28" customFormat="1">
      <c r="A7" s="1" t="s">
        <v>127</v>
      </c>
      <c r="B7" s="21" t="s">
        <v>128</v>
      </c>
      <c r="C7" s="21" t="s">
        <v>37</v>
      </c>
      <c r="D7" s="1" t="s">
        <v>22</v>
      </c>
      <c r="E7" s="1" t="s">
        <v>129</v>
      </c>
      <c r="F7" s="1" t="s">
        <v>115</v>
      </c>
      <c r="G7" s="1" t="s">
        <v>10</v>
      </c>
      <c r="H7" s="23">
        <v>80.58</v>
      </c>
      <c r="I7" s="23">
        <v>2215.9500000000003</v>
      </c>
      <c r="J7" s="2" t="str">
        <f t="shared" si="0"/>
        <v/>
      </c>
      <c r="K7" s="2" t="str">
        <f>IF(J7="","",I7-J7)</f>
        <v/>
      </c>
      <c r="L7" s="1" t="s">
        <v>73</v>
      </c>
      <c r="M7" s="12"/>
      <c r="N7" s="12"/>
      <c r="O7" s="12"/>
      <c r="P7" s="12"/>
      <c r="Q7" s="12"/>
      <c r="R7" s="12"/>
      <c r="S7" s="12"/>
      <c r="T7" s="12">
        <f>IF(M7="",0,INDEX(Sheet2!A$2:A$6,MATCH(M7,Sheet2!C$2:C$6,0)))</f>
        <v>0</v>
      </c>
      <c r="U7" s="12">
        <f>IF(N7="",0,INDEX(Sheet2!A$2:A$6,MATCH(N7,Sheet2!C$2:C$6,0)))</f>
        <v>0</v>
      </c>
      <c r="V7" s="12">
        <f>IF(O7="",0,INDEX(Sheet2!A$2:A$6,MATCH(O7,Sheet2!C$2:C$6,0)))</f>
        <v>0</v>
      </c>
      <c r="W7" s="12">
        <f>IF(P7="",0,INDEX(Sheet2!A$2:A$6,MATCH(P7,Sheet2!C$2:C$6,0)))</f>
        <v>0</v>
      </c>
      <c r="X7" s="12">
        <f>IF(Q7="",0,INDEX(Sheet2!A$2:A$6,MATCH(Q7,Sheet2!C$2:C$6,0)))</f>
        <v>0</v>
      </c>
      <c r="Y7" s="12">
        <f>IF(R7="",0,INDEX(Sheet2!A$2:A$6,MATCH(R7,Sheet2!C$2:C$6,0)))</f>
        <v>0</v>
      </c>
      <c r="Z7" s="12">
        <f t="shared" si="1"/>
        <v>0</v>
      </c>
      <c r="AA7" s="12" t="str">
        <f>IF(I7&gt;=7500,"E",IF(I7&gt;=6800,"D",IF(I7&gt;=4200,"C",IF(I7&gt;=3000,"B",IF(I7&gt;=750,"A","Below Slab")))))</f>
        <v>A</v>
      </c>
      <c r="AB7" s="19" t="str">
        <f>IF(I7&gt;=7500,"Samsung front-load washing machine",IF(I7&gt;=6800,"Apple iPad",IF(I7&gt;=4200,"Robot Vacuum cleaner",IF(I7&gt;=3000,"Sony - sound bar, woofer and speakers",IF(I7&gt;=750,"Foot massager","Not eligible")))))</f>
        <v>Foot massager</v>
      </c>
    </row>
    <row r="8" spans="1:28" customFormat="1">
      <c r="A8" s="1" t="s">
        <v>130</v>
      </c>
      <c r="B8" s="21" t="s">
        <v>131</v>
      </c>
      <c r="C8" s="21" t="s">
        <v>37</v>
      </c>
      <c r="D8" s="1" t="s">
        <v>22</v>
      </c>
      <c r="E8" s="1" t="s">
        <v>120</v>
      </c>
      <c r="F8" s="1" t="s">
        <v>115</v>
      </c>
      <c r="G8" s="1" t="s">
        <v>10</v>
      </c>
      <c r="H8" s="23">
        <v>43.35</v>
      </c>
      <c r="I8" s="23">
        <v>1083.75</v>
      </c>
      <c r="J8" s="2" t="str">
        <f t="shared" si="0"/>
        <v/>
      </c>
      <c r="K8" s="2" t="str">
        <f>IF(J8="","",I8-J8)</f>
        <v/>
      </c>
      <c r="L8" s="1" t="s">
        <v>73</v>
      </c>
      <c r="M8" s="12"/>
      <c r="N8" s="12"/>
      <c r="O8" s="12"/>
      <c r="P8" s="12"/>
      <c r="Q8" s="12"/>
      <c r="R8" s="12"/>
      <c r="S8" s="12"/>
      <c r="T8" s="12">
        <f>IF(M8="",0,INDEX(Sheet2!A$2:A$6,MATCH(M8,Sheet2!C$2:C$6,0)))</f>
        <v>0</v>
      </c>
      <c r="U8" s="12">
        <f>IF(N8="",0,INDEX(Sheet2!A$2:A$6,MATCH(N8,Sheet2!C$2:C$6,0)))</f>
        <v>0</v>
      </c>
      <c r="V8" s="12">
        <f>IF(O8="",0,INDEX(Sheet2!A$2:A$6,MATCH(O8,Sheet2!C$2:C$6,0)))</f>
        <v>0</v>
      </c>
      <c r="W8" s="12">
        <f>IF(P8="",0,INDEX(Sheet2!A$2:A$6,MATCH(P8,Sheet2!C$2:C$6,0)))</f>
        <v>0</v>
      </c>
      <c r="X8" s="12">
        <f>IF(Q8="",0,INDEX(Sheet2!A$2:A$6,MATCH(Q8,Sheet2!C$2:C$6,0)))</f>
        <v>0</v>
      </c>
      <c r="Y8" s="12">
        <f>IF(R8="",0,INDEX(Sheet2!A$2:A$6,MATCH(R8,Sheet2!C$2:C$6,0)))</f>
        <v>0</v>
      </c>
      <c r="Z8" s="12">
        <f t="shared" si="1"/>
        <v>0</v>
      </c>
      <c r="AA8" s="12" t="str">
        <f>IF(I8&gt;=7500,"E",IF(I8&gt;=6800,"D",IF(I8&gt;=4200,"C",IF(I8&gt;=3000,"B",IF(I8&gt;=750,"A","Below Slab")))))</f>
        <v>A</v>
      </c>
      <c r="AB8" s="19" t="str">
        <f>IF(I8&gt;=7500,"Samsung front-load washing machine",IF(I8&gt;=6800,"Apple iPad",IF(I8&gt;=4200,"Robot Vacuum cleaner",IF(I8&gt;=3000,"Sony - sound bar, woofer and speakers",IF(I8&gt;=750,"Foot massager","Not eligible")))))</f>
        <v>Foot massager</v>
      </c>
    </row>
    <row r="9" spans="1:28" customFormat="1">
      <c r="A9" s="1" t="s">
        <v>132</v>
      </c>
      <c r="B9" s="21" t="s">
        <v>133</v>
      </c>
      <c r="C9" s="21" t="s">
        <v>37</v>
      </c>
      <c r="D9" s="1" t="s">
        <v>22</v>
      </c>
      <c r="E9" s="1" t="s">
        <v>120</v>
      </c>
      <c r="F9" s="1" t="s">
        <v>115</v>
      </c>
      <c r="G9" s="1" t="s">
        <v>10</v>
      </c>
      <c r="H9" s="23">
        <v>113.07</v>
      </c>
      <c r="I9" s="23">
        <v>3392.1</v>
      </c>
      <c r="J9" s="2" t="str">
        <f t="shared" si="0"/>
        <v/>
      </c>
      <c r="K9" s="2" t="str">
        <f>IF(J9="","",I9-J9)</f>
        <v/>
      </c>
      <c r="L9" s="1" t="s">
        <v>134</v>
      </c>
      <c r="M9" s="12"/>
      <c r="N9" s="12"/>
      <c r="O9" s="12"/>
      <c r="P9" s="12"/>
      <c r="Q9" s="12"/>
      <c r="R9" s="12"/>
      <c r="S9" s="12"/>
      <c r="T9" s="12">
        <f>IF(M9="",0,INDEX(Sheet2!A$2:A$6,MATCH(M9,Sheet2!C$2:C$6,0)))</f>
        <v>0</v>
      </c>
      <c r="U9" s="12">
        <f>IF(N9="",0,INDEX(Sheet2!A$2:A$6,MATCH(N9,Sheet2!C$2:C$6,0)))</f>
        <v>0</v>
      </c>
      <c r="V9" s="12">
        <f>IF(O9="",0,INDEX(Sheet2!A$2:A$6,MATCH(O9,Sheet2!C$2:C$6,0)))</f>
        <v>0</v>
      </c>
      <c r="W9" s="12">
        <f>IF(P9="",0,INDEX(Sheet2!A$2:A$6,MATCH(P9,Sheet2!C$2:C$6,0)))</f>
        <v>0</v>
      </c>
      <c r="X9" s="12">
        <f>IF(Q9="",0,INDEX(Sheet2!A$2:A$6,MATCH(Q9,Sheet2!C$2:C$6,0)))</f>
        <v>0</v>
      </c>
      <c r="Y9" s="12">
        <f>IF(R9="",0,INDEX(Sheet2!A$2:A$6,MATCH(R9,Sheet2!C$2:C$6,0)))</f>
        <v>0</v>
      </c>
      <c r="Z9" s="12">
        <f t="shared" si="1"/>
        <v>0</v>
      </c>
      <c r="AA9" s="12" t="str">
        <f>IF(I9&gt;=7500,"E",IF(I9&gt;=6800,"D",IF(I9&gt;=4200,"C",IF(I9&gt;=3000,"B",IF(I9&gt;=750,"A","Below Slab")))))</f>
        <v>B</v>
      </c>
      <c r="AB9" s="19" t="str">
        <f>IF(I9&gt;=7500,"Samsung front-load washing machine",IF(I9&gt;=6800,"Apple iPad",IF(I9&gt;=4200,"Robot Vacuum cleaner",IF(I9&gt;=3000,"Sony - sound bar, woofer and speakers",IF(I9&gt;=750,"Foot massager","Not eligible")))))</f>
        <v>Sony - sound bar, woofer and speakers</v>
      </c>
    </row>
    <row r="10" spans="1:28" customFormat="1">
      <c r="A10" s="1" t="s">
        <v>135</v>
      </c>
      <c r="B10" s="21" t="s">
        <v>136</v>
      </c>
      <c r="C10" s="21" t="s">
        <v>37</v>
      </c>
      <c r="D10" s="1" t="s">
        <v>22</v>
      </c>
      <c r="E10" s="1" t="s">
        <v>120</v>
      </c>
      <c r="F10" s="1" t="s">
        <v>115</v>
      </c>
      <c r="G10" s="1" t="s">
        <v>10</v>
      </c>
      <c r="H10" s="23">
        <v>184.8</v>
      </c>
      <c r="I10" s="23">
        <v>6006</v>
      </c>
      <c r="J10" s="2">
        <f t="shared" si="0"/>
        <v>6006</v>
      </c>
      <c r="K10" s="2">
        <f>IF(J10="","",I10-J10)</f>
        <v>0</v>
      </c>
      <c r="L10" s="1" t="s">
        <v>77</v>
      </c>
      <c r="M10" s="12"/>
      <c r="N10" s="12"/>
      <c r="O10" s="12"/>
      <c r="P10" s="12"/>
      <c r="Q10" s="12"/>
      <c r="R10" s="12"/>
      <c r="S10" s="12" t="s">
        <v>137</v>
      </c>
      <c r="T10" s="12">
        <f>IF(M10="",0,INDEX(Sheet2!A$2:A$6,MATCH(M10,Sheet2!C$2:C$6,0)))</f>
        <v>0</v>
      </c>
      <c r="U10" s="12">
        <f>IF(N10="",0,INDEX(Sheet2!A$2:A$6,MATCH(N10,Sheet2!C$2:C$6,0)))</f>
        <v>0</v>
      </c>
      <c r="V10" s="12">
        <f>IF(O10="",0,INDEX(Sheet2!A$2:A$6,MATCH(O10,Sheet2!C$2:C$6,0)))</f>
        <v>0</v>
      </c>
      <c r="W10" s="12">
        <f>IF(P10="",0,INDEX(Sheet2!A$2:A$6,MATCH(P10,Sheet2!C$2:C$6,0)))</f>
        <v>0</v>
      </c>
      <c r="X10" s="12">
        <f>IF(Q10="",0,INDEX(Sheet2!A$2:A$6,MATCH(Q10,Sheet2!C$2:C$6,0)))</f>
        <v>0</v>
      </c>
      <c r="Y10" s="12">
        <f>IF(R10="",0,INDEX(Sheet2!A$2:A$6,MATCH(R10,Sheet2!C$2:C$6,0)))</f>
        <v>0</v>
      </c>
      <c r="Z10" s="12">
        <f t="shared" si="1"/>
        <v>6006</v>
      </c>
      <c r="AA10" s="12" t="str">
        <f>IF(I10&gt;=7500,"E",IF(I10&gt;=6800,"D",IF(I10&gt;=4200,"C",IF(I10&gt;=3000,"B",IF(I10&gt;=750,"A","Below Slab")))))</f>
        <v>C</v>
      </c>
      <c r="AB10" s="19" t="str">
        <f>IF(I10&gt;=7500,"Samsung front-load washing machine",IF(I10&gt;=6800,"Apple iPad",IF(I10&gt;=4200,"Robot Vacuum cleaner",IF(I10&gt;=3000,"Sony - sound bar, woofer and speakers",IF(I10&gt;=750,"Foot massager","Not eligible")))))</f>
        <v>Robot Vacuum cleaner</v>
      </c>
    </row>
    <row r="11" spans="1:28" customFormat="1">
      <c r="A11" s="1" t="s">
        <v>138</v>
      </c>
      <c r="B11" s="21" t="s">
        <v>139</v>
      </c>
      <c r="C11" s="21" t="s">
        <v>37</v>
      </c>
      <c r="D11" s="1" t="s">
        <v>22</v>
      </c>
      <c r="E11" s="1" t="s">
        <v>140</v>
      </c>
      <c r="F11" s="1" t="s">
        <v>115</v>
      </c>
      <c r="G11" s="1" t="s">
        <v>10</v>
      </c>
      <c r="H11" s="23">
        <v>34.550000000000004</v>
      </c>
      <c r="I11" s="23">
        <v>863.75000000000011</v>
      </c>
      <c r="J11" s="2" t="str">
        <f t="shared" si="0"/>
        <v/>
      </c>
      <c r="K11" s="2" t="str">
        <f>IF(J11="","",I11-J11)</f>
        <v/>
      </c>
      <c r="L11" s="1" t="s">
        <v>73</v>
      </c>
      <c r="M11" s="12"/>
      <c r="N11" s="12"/>
      <c r="O11" s="12"/>
      <c r="P11" s="12"/>
      <c r="Q11" s="12"/>
      <c r="R11" s="12"/>
      <c r="S11" s="12"/>
      <c r="T11" s="12">
        <f>IF(M11="",0,INDEX(Sheet2!A$2:A$6,MATCH(M11,Sheet2!C$2:C$6,0)))</f>
        <v>0</v>
      </c>
      <c r="U11" s="12">
        <f>IF(N11="",0,INDEX(Sheet2!A$2:A$6,MATCH(N11,Sheet2!C$2:C$6,0)))</f>
        <v>0</v>
      </c>
      <c r="V11" s="12">
        <f>IF(O11="",0,INDEX(Sheet2!A$2:A$6,MATCH(O11,Sheet2!C$2:C$6,0)))</f>
        <v>0</v>
      </c>
      <c r="W11" s="12">
        <f>IF(P11="",0,INDEX(Sheet2!A$2:A$6,MATCH(P11,Sheet2!C$2:C$6,0)))</f>
        <v>0</v>
      </c>
      <c r="X11" s="12">
        <f>IF(Q11="",0,INDEX(Sheet2!A$2:A$6,MATCH(Q11,Sheet2!C$2:C$6,0)))</f>
        <v>0</v>
      </c>
      <c r="Y11" s="12">
        <f>IF(R11="",0,INDEX(Sheet2!A$2:A$6,MATCH(R11,Sheet2!C$2:C$6,0)))</f>
        <v>0</v>
      </c>
      <c r="Z11" s="12">
        <f t="shared" si="1"/>
        <v>0</v>
      </c>
      <c r="AA11" s="12" t="str">
        <f>IF(I11&gt;=7500,"E",IF(I11&gt;=6800,"D",IF(I11&gt;=4200,"C",IF(I11&gt;=3000,"B",IF(I11&gt;=750,"A","Below Slab")))))</f>
        <v>A</v>
      </c>
      <c r="AB11" s="19" t="str">
        <f>IF(I11&gt;=7500,"Samsung front-load washing machine",IF(I11&gt;=6800,"Apple iPad",IF(I11&gt;=4200,"Robot Vacuum cleaner",IF(I11&gt;=3000,"Sony - sound bar, woofer and speakers",IF(I11&gt;=750,"Foot massager","Not eligible")))))</f>
        <v>Foot massager</v>
      </c>
    </row>
    <row r="12" spans="1:28" customFormat="1">
      <c r="A12" s="1" t="s">
        <v>141</v>
      </c>
      <c r="B12" s="21" t="s">
        <v>142</v>
      </c>
      <c r="C12" s="21" t="s">
        <v>53</v>
      </c>
      <c r="D12" s="1" t="s">
        <v>22</v>
      </c>
      <c r="E12" s="1" t="s">
        <v>143</v>
      </c>
      <c r="F12" s="1" t="s">
        <v>115</v>
      </c>
      <c r="G12" s="1" t="s">
        <v>10</v>
      </c>
      <c r="H12" s="23">
        <v>223.26</v>
      </c>
      <c r="I12" s="23">
        <v>8372.25</v>
      </c>
      <c r="J12" s="2" t="str">
        <f t="shared" si="0"/>
        <v/>
      </c>
      <c r="K12" s="2" t="str">
        <f>IF(J12="","",I12-J12)</f>
        <v/>
      </c>
      <c r="L12" s="1" t="s">
        <v>81</v>
      </c>
      <c r="M12" s="12"/>
      <c r="N12" s="12"/>
      <c r="O12" s="12"/>
      <c r="P12" s="12"/>
      <c r="Q12" s="12"/>
      <c r="R12" s="12"/>
      <c r="S12" s="12"/>
      <c r="T12" s="12">
        <f>IF(M12="",0,INDEX(Sheet2!A$2:A$6,MATCH(M12,Sheet2!C$2:C$6,0)))</f>
        <v>0</v>
      </c>
      <c r="U12" s="12">
        <f>IF(N12="",0,INDEX(Sheet2!A$2:A$6,MATCH(N12,Sheet2!C$2:C$6,0)))</f>
        <v>0</v>
      </c>
      <c r="V12" s="12">
        <f>IF(O12="",0,INDEX(Sheet2!A$2:A$6,MATCH(O12,Sheet2!C$2:C$6,0)))</f>
        <v>0</v>
      </c>
      <c r="W12" s="12">
        <f>IF(P12="",0,INDEX(Sheet2!A$2:A$6,MATCH(P12,Sheet2!C$2:C$6,0)))</f>
        <v>0</v>
      </c>
      <c r="X12" s="12">
        <f>IF(Q12="",0,INDEX(Sheet2!A$2:A$6,MATCH(Q12,Sheet2!C$2:C$6,0)))</f>
        <v>0</v>
      </c>
      <c r="Y12" s="12">
        <f>IF(R12="",0,INDEX(Sheet2!A$2:A$6,MATCH(R12,Sheet2!C$2:C$6,0)))</f>
        <v>0</v>
      </c>
      <c r="Z12" s="12">
        <f t="shared" si="1"/>
        <v>0</v>
      </c>
      <c r="AA12" s="12" t="str">
        <f>IF(I12&gt;=7500,"E",IF(I12&gt;=6800,"D",IF(I12&gt;=4200,"C",IF(I12&gt;=3000,"B",IF(I12&gt;=750,"A","Below Slab")))))</f>
        <v>E</v>
      </c>
      <c r="AB12" s="19" t="str">
        <f>IF(I12&gt;=7500,"Samsung front-load washing machine",IF(I12&gt;=6800,"Apple iPad",IF(I12&gt;=4200,"Robot Vacuum cleaner",IF(I12&gt;=3000,"Sony - sound bar, woofer and speakers",IF(I12&gt;=750,"Foot massager","Not eligible")))))</f>
        <v>Samsung front-load washing machine</v>
      </c>
    </row>
    <row r="13" spans="1:28" customFormat="1">
      <c r="A13" s="1" t="s">
        <v>144</v>
      </c>
      <c r="B13" s="21" t="s">
        <v>145</v>
      </c>
      <c r="C13" s="21" t="s">
        <v>53</v>
      </c>
      <c r="D13" s="1" t="s">
        <v>22</v>
      </c>
      <c r="E13" s="1" t="s">
        <v>143</v>
      </c>
      <c r="F13" s="1" t="s">
        <v>115</v>
      </c>
      <c r="G13" s="1" t="s">
        <v>10</v>
      </c>
      <c r="H13" s="23">
        <v>166.88</v>
      </c>
      <c r="I13" s="23">
        <v>5423.6</v>
      </c>
      <c r="J13" s="2" t="str">
        <f t="shared" si="0"/>
        <v/>
      </c>
      <c r="K13" s="2" t="str">
        <f>IF(J13="","",I13-J13)</f>
        <v/>
      </c>
      <c r="L13" s="1" t="s">
        <v>77</v>
      </c>
      <c r="M13" s="12"/>
      <c r="N13" s="12"/>
      <c r="O13" s="12"/>
      <c r="P13" s="12"/>
      <c r="Q13" s="12"/>
      <c r="R13" s="12"/>
      <c r="S13" s="12"/>
      <c r="T13" s="12">
        <f>IF(M13="",0,INDEX(Sheet2!A$2:A$6,MATCH(M13,Sheet2!C$2:C$6,0)))</f>
        <v>0</v>
      </c>
      <c r="U13" s="12">
        <f>IF(N13="",0,INDEX(Sheet2!A$2:A$6,MATCH(N13,Sheet2!C$2:C$6,0)))</f>
        <v>0</v>
      </c>
      <c r="V13" s="12">
        <f>IF(O13="",0,INDEX(Sheet2!A$2:A$6,MATCH(O13,Sheet2!C$2:C$6,0)))</f>
        <v>0</v>
      </c>
      <c r="W13" s="12">
        <f>IF(P13="",0,INDEX(Sheet2!A$2:A$6,MATCH(P13,Sheet2!C$2:C$6,0)))</f>
        <v>0</v>
      </c>
      <c r="X13" s="12">
        <f>IF(Q13="",0,INDEX(Sheet2!A$2:A$6,MATCH(Q13,Sheet2!C$2:C$6,0)))</f>
        <v>0</v>
      </c>
      <c r="Y13" s="12">
        <f>IF(R13="",0,INDEX(Sheet2!A$2:A$6,MATCH(R13,Sheet2!C$2:C$6,0)))</f>
        <v>0</v>
      </c>
      <c r="Z13" s="12">
        <f t="shared" si="1"/>
        <v>0</v>
      </c>
      <c r="AA13" s="12" t="str">
        <f>IF(I13&gt;=7500,"E",IF(I13&gt;=6800,"D",IF(I13&gt;=4200,"C",IF(I13&gt;=3000,"B",IF(I13&gt;=750,"A","Below Slab")))))</f>
        <v>C</v>
      </c>
      <c r="AB13" s="19" t="str">
        <f>IF(I13&gt;=7500,"Samsung front-load washing machine",IF(I13&gt;=6800,"Apple iPad",IF(I13&gt;=4200,"Robot Vacuum cleaner",IF(I13&gt;=3000,"Sony - sound bar, woofer and speakers",IF(I13&gt;=750,"Foot massager","Not eligible")))))</f>
        <v>Robot Vacuum cleaner</v>
      </c>
    </row>
    <row r="14" spans="1:28" customFormat="1">
      <c r="A14" s="1" t="s">
        <v>146</v>
      </c>
      <c r="B14" s="21" t="s">
        <v>147</v>
      </c>
      <c r="C14" s="21" t="s">
        <v>53</v>
      </c>
      <c r="D14" s="1" t="s">
        <v>22</v>
      </c>
      <c r="E14" s="1" t="s">
        <v>143</v>
      </c>
      <c r="F14" s="1" t="s">
        <v>115</v>
      </c>
      <c r="G14" s="1" t="s">
        <v>10</v>
      </c>
      <c r="H14" s="23">
        <v>467.67</v>
      </c>
      <c r="I14" s="23">
        <v>17537.625</v>
      </c>
      <c r="J14" s="2" t="str">
        <f t="shared" si="0"/>
        <v/>
      </c>
      <c r="K14" s="2" t="str">
        <f>IF(J14="","",I14-J14)</f>
        <v/>
      </c>
      <c r="L14" s="1" t="s">
        <v>81</v>
      </c>
      <c r="M14" s="12"/>
      <c r="N14" s="12"/>
      <c r="O14" s="12"/>
      <c r="P14" s="12"/>
      <c r="Q14" s="12"/>
      <c r="R14" s="12"/>
      <c r="S14" s="12"/>
      <c r="T14" s="12">
        <f>IF(M14="",0,INDEX(Sheet2!A$2:A$6,MATCH(M14,Sheet2!C$2:C$6,0)))</f>
        <v>0</v>
      </c>
      <c r="U14" s="12">
        <f>IF(N14="",0,INDEX(Sheet2!A$2:A$6,MATCH(N14,Sheet2!C$2:C$6,0)))</f>
        <v>0</v>
      </c>
      <c r="V14" s="12">
        <f>IF(O14="",0,INDEX(Sheet2!A$2:A$6,MATCH(O14,Sheet2!C$2:C$6,0)))</f>
        <v>0</v>
      </c>
      <c r="W14" s="12">
        <f>IF(P14="",0,INDEX(Sheet2!A$2:A$6,MATCH(P14,Sheet2!C$2:C$6,0)))</f>
        <v>0</v>
      </c>
      <c r="X14" s="12">
        <f>IF(Q14="",0,INDEX(Sheet2!A$2:A$6,MATCH(Q14,Sheet2!C$2:C$6,0)))</f>
        <v>0</v>
      </c>
      <c r="Y14" s="12">
        <f>IF(R14="",0,INDEX(Sheet2!A$2:A$6,MATCH(R14,Sheet2!C$2:C$6,0)))</f>
        <v>0</v>
      </c>
      <c r="Z14" s="12">
        <f t="shared" si="1"/>
        <v>0</v>
      </c>
      <c r="AA14" s="12" t="str">
        <f>IF(I14&gt;=7500,"E",IF(I14&gt;=6800,"D",IF(I14&gt;=4200,"C",IF(I14&gt;=3000,"B",IF(I14&gt;=750,"A","Below Slab")))))</f>
        <v>E</v>
      </c>
      <c r="AB14" s="19" t="str">
        <f>IF(I14&gt;=7500,"Samsung front-load washing machine",IF(I14&gt;=6800,"Apple iPad",IF(I14&gt;=4200,"Robot Vacuum cleaner",IF(I14&gt;=3000,"Sony - sound bar, woofer and speakers",IF(I14&gt;=750,"Foot massager","Not eligible")))))</f>
        <v>Samsung front-load washing machine</v>
      </c>
    </row>
    <row r="15" spans="1:28" customFormat="1">
      <c r="A15" s="1" t="s">
        <v>148</v>
      </c>
      <c r="B15" s="21" t="s">
        <v>149</v>
      </c>
      <c r="C15" s="21" t="s">
        <v>53</v>
      </c>
      <c r="D15" s="1" t="s">
        <v>22</v>
      </c>
      <c r="E15" s="1" t="s">
        <v>150</v>
      </c>
      <c r="F15" s="1" t="s">
        <v>115</v>
      </c>
      <c r="G15" s="1" t="s">
        <v>10</v>
      </c>
      <c r="H15" s="23">
        <v>392.75</v>
      </c>
      <c r="I15" s="23">
        <v>14728.125</v>
      </c>
      <c r="J15" s="2" t="str">
        <f t="shared" si="0"/>
        <v/>
      </c>
      <c r="K15" s="2" t="str">
        <f>IF(J15="","",I15-J15)</f>
        <v/>
      </c>
      <c r="L15" s="1" t="s">
        <v>81</v>
      </c>
      <c r="M15" s="12"/>
      <c r="N15" s="12"/>
      <c r="O15" s="12"/>
      <c r="P15" s="12"/>
      <c r="Q15" s="12"/>
      <c r="R15" s="12"/>
      <c r="S15" s="12"/>
      <c r="T15" s="12">
        <f>IF(M15="",0,INDEX(Sheet2!A$2:A$6,MATCH(M15,Sheet2!C$2:C$6,0)))</f>
        <v>0</v>
      </c>
      <c r="U15" s="12">
        <f>IF(N15="",0,INDEX(Sheet2!A$2:A$6,MATCH(N15,Sheet2!C$2:C$6,0)))</f>
        <v>0</v>
      </c>
      <c r="V15" s="12">
        <f>IF(O15="",0,INDEX(Sheet2!A$2:A$6,MATCH(O15,Sheet2!C$2:C$6,0)))</f>
        <v>0</v>
      </c>
      <c r="W15" s="12">
        <f>IF(P15="",0,INDEX(Sheet2!A$2:A$6,MATCH(P15,Sheet2!C$2:C$6,0)))</f>
        <v>0</v>
      </c>
      <c r="X15" s="12">
        <f>IF(Q15="",0,INDEX(Sheet2!A$2:A$6,MATCH(Q15,Sheet2!C$2:C$6,0)))</f>
        <v>0</v>
      </c>
      <c r="Y15" s="12">
        <f>IF(R15="",0,INDEX(Sheet2!A$2:A$6,MATCH(R15,Sheet2!C$2:C$6,0)))</f>
        <v>0</v>
      </c>
      <c r="Z15" s="12">
        <f t="shared" si="1"/>
        <v>0</v>
      </c>
      <c r="AA15" s="12" t="str">
        <f>IF(I15&gt;=7500,"E",IF(I15&gt;=6800,"D",IF(I15&gt;=4200,"C",IF(I15&gt;=3000,"B",IF(I15&gt;=750,"A","Below Slab")))))</f>
        <v>E</v>
      </c>
      <c r="AB15" s="19" t="str">
        <f>IF(I15&gt;=7500,"Samsung front-load washing machine",IF(I15&gt;=6800,"Apple iPad",IF(I15&gt;=4200,"Robot Vacuum cleaner",IF(I15&gt;=3000,"Sony - sound bar, woofer and speakers",IF(I15&gt;=750,"Foot massager","Not eligible")))))</f>
        <v>Samsung front-load washing machine</v>
      </c>
    </row>
    <row r="16" spans="1:28" customFormat="1">
      <c r="A16" s="1" t="s">
        <v>151</v>
      </c>
      <c r="B16" s="21" t="s">
        <v>152</v>
      </c>
      <c r="C16" s="21" t="s">
        <v>53</v>
      </c>
      <c r="D16" s="1" t="s">
        <v>22</v>
      </c>
      <c r="E16" s="1" t="s">
        <v>153</v>
      </c>
      <c r="F16" s="1" t="s">
        <v>115</v>
      </c>
      <c r="G16" s="1" t="s">
        <v>10</v>
      </c>
      <c r="H16" s="23">
        <v>41.440000000000005</v>
      </c>
      <c r="I16" s="23">
        <v>1036.0000000000002</v>
      </c>
      <c r="J16" s="2" t="str">
        <f t="shared" si="0"/>
        <v/>
      </c>
      <c r="K16" s="2" t="str">
        <f>IF(J16="","",I16-J16)</f>
        <v/>
      </c>
      <c r="L16" s="1" t="s">
        <v>73</v>
      </c>
      <c r="M16" s="12"/>
      <c r="N16" s="12"/>
      <c r="O16" s="12"/>
      <c r="P16" s="12"/>
      <c r="Q16" s="12"/>
      <c r="R16" s="12"/>
      <c r="S16" s="12"/>
      <c r="T16" s="12">
        <f>IF(M16="",0,INDEX(Sheet2!A$2:A$6,MATCH(M16,Sheet2!C$2:C$6,0)))</f>
        <v>0</v>
      </c>
      <c r="U16" s="12">
        <f>IF(N16="",0,INDEX(Sheet2!A$2:A$6,MATCH(N16,Sheet2!C$2:C$6,0)))</f>
        <v>0</v>
      </c>
      <c r="V16" s="12">
        <f>IF(O16="",0,INDEX(Sheet2!A$2:A$6,MATCH(O16,Sheet2!C$2:C$6,0)))</f>
        <v>0</v>
      </c>
      <c r="W16" s="12">
        <f>IF(P16="",0,INDEX(Sheet2!A$2:A$6,MATCH(P16,Sheet2!C$2:C$6,0)))</f>
        <v>0</v>
      </c>
      <c r="X16" s="12">
        <f>IF(Q16="",0,INDEX(Sheet2!A$2:A$6,MATCH(Q16,Sheet2!C$2:C$6,0)))</f>
        <v>0</v>
      </c>
      <c r="Y16" s="12">
        <f>IF(R16="",0,INDEX(Sheet2!A$2:A$6,MATCH(R16,Sheet2!C$2:C$6,0)))</f>
        <v>0</v>
      </c>
      <c r="Z16" s="12">
        <f t="shared" si="1"/>
        <v>0</v>
      </c>
      <c r="AA16" s="12" t="str">
        <f>IF(I16&gt;=7500,"E",IF(I16&gt;=6800,"D",IF(I16&gt;=4200,"C",IF(I16&gt;=3000,"B",IF(I16&gt;=750,"A","Below Slab")))))</f>
        <v>A</v>
      </c>
      <c r="AB16" s="19" t="str">
        <f>IF(I16&gt;=7500,"Samsung front-load washing machine",IF(I16&gt;=6800,"Apple iPad",IF(I16&gt;=4200,"Robot Vacuum cleaner",IF(I16&gt;=3000,"Sony - sound bar, woofer and speakers",IF(I16&gt;=750,"Foot massager","Not eligible")))))</f>
        <v>Foot massager</v>
      </c>
    </row>
    <row r="17" spans="1:28" customFormat="1">
      <c r="A17" s="1" t="s">
        <v>154</v>
      </c>
      <c r="B17" s="21" t="s">
        <v>155</v>
      </c>
      <c r="C17" s="21" t="s">
        <v>53</v>
      </c>
      <c r="D17" s="1" t="s">
        <v>22</v>
      </c>
      <c r="E17" s="1" t="s">
        <v>156</v>
      </c>
      <c r="F17" s="1" t="s">
        <v>115</v>
      </c>
      <c r="G17" s="1" t="s">
        <v>10</v>
      </c>
      <c r="H17" s="23">
        <v>41.5</v>
      </c>
      <c r="I17" s="23">
        <v>1037.5</v>
      </c>
      <c r="J17" s="2" t="str">
        <f t="shared" si="0"/>
        <v/>
      </c>
      <c r="K17" s="2" t="str">
        <f>IF(J17="","",I17-J17)</f>
        <v/>
      </c>
      <c r="L17" s="1" t="s">
        <v>73</v>
      </c>
      <c r="M17" s="12"/>
      <c r="N17" s="12"/>
      <c r="O17" s="12"/>
      <c r="P17" s="12"/>
      <c r="Q17" s="12"/>
      <c r="R17" s="12"/>
      <c r="S17" s="12"/>
      <c r="T17" s="12">
        <f>IF(M17="",0,INDEX(Sheet2!A$2:A$6,MATCH(M17,Sheet2!C$2:C$6,0)))</f>
        <v>0</v>
      </c>
      <c r="U17" s="12">
        <f>IF(N17="",0,INDEX(Sheet2!A$2:A$6,MATCH(N17,Sheet2!C$2:C$6,0)))</f>
        <v>0</v>
      </c>
      <c r="V17" s="12">
        <f>IF(O17="",0,INDEX(Sheet2!A$2:A$6,MATCH(O17,Sheet2!C$2:C$6,0)))</f>
        <v>0</v>
      </c>
      <c r="W17" s="12">
        <f>IF(P17="",0,INDEX(Sheet2!A$2:A$6,MATCH(P17,Sheet2!C$2:C$6,0)))</f>
        <v>0</v>
      </c>
      <c r="X17" s="12">
        <f>IF(Q17="",0,INDEX(Sheet2!A$2:A$6,MATCH(Q17,Sheet2!C$2:C$6,0)))</f>
        <v>0</v>
      </c>
      <c r="Y17" s="12">
        <f>IF(R17="",0,INDEX(Sheet2!A$2:A$6,MATCH(R17,Sheet2!C$2:C$6,0)))</f>
        <v>0</v>
      </c>
      <c r="Z17" s="12">
        <f t="shared" si="1"/>
        <v>0</v>
      </c>
      <c r="AA17" s="12" t="str">
        <f>IF(I17&gt;=7500,"E",IF(I17&gt;=6800,"D",IF(I17&gt;=4200,"C",IF(I17&gt;=3000,"B",IF(I17&gt;=750,"A","Below Slab")))))</f>
        <v>A</v>
      </c>
      <c r="AB17" s="19" t="str">
        <f>IF(I17&gt;=7500,"Samsung front-load washing machine",IF(I17&gt;=6800,"Apple iPad",IF(I17&gt;=4200,"Robot Vacuum cleaner",IF(I17&gt;=3000,"Sony - sound bar, woofer and speakers",IF(I17&gt;=750,"Foot massager","Not eligible")))))</f>
        <v>Foot massager</v>
      </c>
    </row>
    <row r="18" spans="1:28" customFormat="1">
      <c r="A18" s="1" t="s">
        <v>157</v>
      </c>
      <c r="B18" s="21" t="s">
        <v>158</v>
      </c>
      <c r="C18" s="21" t="s">
        <v>53</v>
      </c>
      <c r="D18" s="1" t="s">
        <v>22</v>
      </c>
      <c r="E18" s="1" t="s">
        <v>143</v>
      </c>
      <c r="F18" s="1" t="s">
        <v>115</v>
      </c>
      <c r="G18" s="1" t="s">
        <v>10</v>
      </c>
      <c r="H18" s="23">
        <v>226</v>
      </c>
      <c r="I18" s="23">
        <v>8475</v>
      </c>
      <c r="J18" s="2" t="str">
        <f t="shared" si="0"/>
        <v/>
      </c>
      <c r="K18" s="2" t="str">
        <f>IF(J18="","",I18-J18)</f>
        <v/>
      </c>
      <c r="L18" s="1" t="s">
        <v>81</v>
      </c>
      <c r="M18" s="12"/>
      <c r="N18" s="12"/>
      <c r="O18" s="12"/>
      <c r="P18" s="12"/>
      <c r="Q18" s="12"/>
      <c r="R18" s="12"/>
      <c r="S18" s="12"/>
      <c r="T18" s="12">
        <f>IF(M18="",0,INDEX(Sheet2!A$2:A$6,MATCH(M18,Sheet2!C$2:C$6,0)))</f>
        <v>0</v>
      </c>
      <c r="U18" s="12">
        <f>IF(N18="",0,INDEX(Sheet2!A$2:A$6,MATCH(N18,Sheet2!C$2:C$6,0)))</f>
        <v>0</v>
      </c>
      <c r="V18" s="12">
        <f>IF(O18="",0,INDEX(Sheet2!A$2:A$6,MATCH(O18,Sheet2!C$2:C$6,0)))</f>
        <v>0</v>
      </c>
      <c r="W18" s="12">
        <f>IF(P18="",0,INDEX(Sheet2!A$2:A$6,MATCH(P18,Sheet2!C$2:C$6,0)))</f>
        <v>0</v>
      </c>
      <c r="X18" s="12">
        <f>IF(Q18="",0,INDEX(Sheet2!A$2:A$6,MATCH(Q18,Sheet2!C$2:C$6,0)))</f>
        <v>0</v>
      </c>
      <c r="Y18" s="12">
        <f>IF(R18="",0,INDEX(Sheet2!A$2:A$6,MATCH(R18,Sheet2!C$2:C$6,0)))</f>
        <v>0</v>
      </c>
      <c r="Z18" s="12">
        <f t="shared" si="1"/>
        <v>0</v>
      </c>
      <c r="AA18" s="12" t="str">
        <f>IF(I18&gt;=7500,"E",IF(I18&gt;=6800,"D",IF(I18&gt;=4200,"C",IF(I18&gt;=3000,"B",IF(I18&gt;=750,"A","Below Slab")))))</f>
        <v>E</v>
      </c>
      <c r="AB18" s="19" t="str">
        <f>IF(I18&gt;=7500,"Samsung front-load washing machine",IF(I18&gt;=6800,"Apple iPad",IF(I18&gt;=4200,"Robot Vacuum cleaner",IF(I18&gt;=3000,"Sony - sound bar, woofer and speakers",IF(I18&gt;=750,"Foot massager","Not eligible")))))</f>
        <v>Samsung front-load washing machine</v>
      </c>
    </row>
    <row r="19" spans="1:28" customFormat="1">
      <c r="A19" s="1" t="s">
        <v>159</v>
      </c>
      <c r="B19" s="21" t="s">
        <v>160</v>
      </c>
      <c r="C19" s="21" t="s">
        <v>53</v>
      </c>
      <c r="D19" s="1" t="s">
        <v>22</v>
      </c>
      <c r="E19" s="1" t="s">
        <v>143</v>
      </c>
      <c r="F19" s="1" t="s">
        <v>115</v>
      </c>
      <c r="G19" s="1" t="s">
        <v>10</v>
      </c>
      <c r="H19" s="23">
        <v>41.71</v>
      </c>
      <c r="I19" s="23">
        <v>1042.75</v>
      </c>
      <c r="J19" s="2" t="str">
        <f t="shared" si="0"/>
        <v/>
      </c>
      <c r="K19" s="2" t="str">
        <f>IF(J19="","",I19-J19)</f>
        <v/>
      </c>
      <c r="L19" s="1" t="s">
        <v>73</v>
      </c>
      <c r="M19" s="12"/>
      <c r="N19" s="12"/>
      <c r="O19" s="12"/>
      <c r="P19" s="12"/>
      <c r="Q19" s="12"/>
      <c r="R19" s="12"/>
      <c r="S19" s="12"/>
      <c r="T19" s="12">
        <f>IF(M19="",0,INDEX(Sheet2!A$2:A$6,MATCH(M19,Sheet2!C$2:C$6,0)))</f>
        <v>0</v>
      </c>
      <c r="U19" s="12">
        <f>IF(N19="",0,INDEX(Sheet2!A$2:A$6,MATCH(N19,Sheet2!C$2:C$6,0)))</f>
        <v>0</v>
      </c>
      <c r="V19" s="12">
        <f>IF(O19="",0,INDEX(Sheet2!A$2:A$6,MATCH(O19,Sheet2!C$2:C$6,0)))</f>
        <v>0</v>
      </c>
      <c r="W19" s="12">
        <f>IF(P19="",0,INDEX(Sheet2!A$2:A$6,MATCH(P19,Sheet2!C$2:C$6,0)))</f>
        <v>0</v>
      </c>
      <c r="X19" s="12">
        <f>IF(Q19="",0,INDEX(Sheet2!A$2:A$6,MATCH(Q19,Sheet2!C$2:C$6,0)))</f>
        <v>0</v>
      </c>
      <c r="Y19" s="12">
        <f>IF(R19="",0,INDEX(Sheet2!A$2:A$6,MATCH(R19,Sheet2!C$2:C$6,0)))</f>
        <v>0</v>
      </c>
      <c r="Z19" s="12">
        <f t="shared" si="1"/>
        <v>0</v>
      </c>
      <c r="AA19" s="12" t="str">
        <f>IF(I19&gt;=7500,"E",IF(I19&gt;=6800,"D",IF(I19&gt;=4200,"C",IF(I19&gt;=3000,"B",IF(I19&gt;=750,"A","Below Slab")))))</f>
        <v>A</v>
      </c>
      <c r="AB19" s="19" t="str">
        <f>IF(I19&gt;=7500,"Samsung front-load washing machine",IF(I19&gt;=6800,"Apple iPad",IF(I19&gt;=4200,"Robot Vacuum cleaner",IF(I19&gt;=3000,"Sony - sound bar, woofer and speakers",IF(I19&gt;=750,"Foot massager","Not eligible")))))</f>
        <v>Foot massager</v>
      </c>
    </row>
    <row r="20" spans="1:28" customFormat="1">
      <c r="A20" s="1" t="s">
        <v>161</v>
      </c>
      <c r="B20" s="21" t="s">
        <v>162</v>
      </c>
      <c r="C20" s="21" t="s">
        <v>53</v>
      </c>
      <c r="D20" s="1" t="s">
        <v>22</v>
      </c>
      <c r="E20" s="1" t="s">
        <v>143</v>
      </c>
      <c r="F20" s="1" t="s">
        <v>115</v>
      </c>
      <c r="G20" s="1" t="s">
        <v>10</v>
      </c>
      <c r="H20" s="23">
        <v>447.79999999999995</v>
      </c>
      <c r="I20" s="23">
        <v>16792.499999999996</v>
      </c>
      <c r="J20" s="2" t="str">
        <f t="shared" si="0"/>
        <v/>
      </c>
      <c r="K20" s="2" t="str">
        <f>IF(J20="","",I20-J20)</f>
        <v/>
      </c>
      <c r="L20" s="1" t="s">
        <v>81</v>
      </c>
      <c r="M20" s="12"/>
      <c r="N20" s="12"/>
      <c r="O20" s="12"/>
      <c r="P20" s="12"/>
      <c r="Q20" s="12"/>
      <c r="R20" s="12"/>
      <c r="S20" s="12"/>
      <c r="T20" s="12">
        <f>IF(M20="",0,INDEX(Sheet2!A$2:A$6,MATCH(M20,Sheet2!C$2:C$6,0)))</f>
        <v>0</v>
      </c>
      <c r="U20" s="12">
        <f>IF(N20="",0,INDEX(Sheet2!A$2:A$6,MATCH(N20,Sheet2!C$2:C$6,0)))</f>
        <v>0</v>
      </c>
      <c r="V20" s="12">
        <f>IF(O20="",0,INDEX(Sheet2!A$2:A$6,MATCH(O20,Sheet2!C$2:C$6,0)))</f>
        <v>0</v>
      </c>
      <c r="W20" s="12">
        <f>IF(P20="",0,INDEX(Sheet2!A$2:A$6,MATCH(P20,Sheet2!C$2:C$6,0)))</f>
        <v>0</v>
      </c>
      <c r="X20" s="12">
        <f>IF(Q20="",0,INDEX(Sheet2!A$2:A$6,MATCH(Q20,Sheet2!C$2:C$6,0)))</f>
        <v>0</v>
      </c>
      <c r="Y20" s="12">
        <f>IF(R20="",0,INDEX(Sheet2!A$2:A$6,MATCH(R20,Sheet2!C$2:C$6,0)))</f>
        <v>0</v>
      </c>
      <c r="Z20" s="12">
        <f t="shared" si="1"/>
        <v>0</v>
      </c>
      <c r="AA20" s="12" t="str">
        <f>IF(I20&gt;=7500,"E",IF(I20&gt;=6800,"D",IF(I20&gt;=4200,"C",IF(I20&gt;=3000,"B",IF(I20&gt;=750,"A","Below Slab")))))</f>
        <v>E</v>
      </c>
      <c r="AB20" s="19" t="str">
        <f>IF(I20&gt;=7500,"Samsung front-load washing machine",IF(I20&gt;=6800,"Apple iPad",IF(I20&gt;=4200,"Robot Vacuum cleaner",IF(I20&gt;=3000,"Sony - sound bar, woofer and speakers",IF(I20&gt;=750,"Foot massager","Not eligible")))))</f>
        <v>Samsung front-load washing machine</v>
      </c>
    </row>
    <row r="21" spans="1:28" customFormat="1">
      <c r="A21" s="1" t="s">
        <v>163</v>
      </c>
      <c r="B21" s="21" t="s">
        <v>164</v>
      </c>
      <c r="C21" s="21" t="s">
        <v>53</v>
      </c>
      <c r="D21" s="1" t="s">
        <v>22</v>
      </c>
      <c r="E21" s="1" t="s">
        <v>165</v>
      </c>
      <c r="F21" s="1" t="s">
        <v>115</v>
      </c>
      <c r="G21" s="1" t="s">
        <v>10</v>
      </c>
      <c r="H21" s="23">
        <v>82.93</v>
      </c>
      <c r="I21" s="23">
        <v>2280.5750000000003</v>
      </c>
      <c r="J21" s="2" t="str">
        <f t="shared" si="0"/>
        <v/>
      </c>
      <c r="K21" s="2" t="str">
        <f>IF(J21="","",I21-J21)</f>
        <v/>
      </c>
      <c r="L21" s="1" t="s">
        <v>73</v>
      </c>
      <c r="M21" s="12"/>
      <c r="N21" s="12"/>
      <c r="O21" s="12"/>
      <c r="P21" s="12"/>
      <c r="Q21" s="12"/>
      <c r="R21" s="12"/>
      <c r="S21" s="12"/>
      <c r="T21" s="12">
        <f>IF(M21="",0,INDEX(Sheet2!A$2:A$6,MATCH(M21,Sheet2!C$2:C$6,0)))</f>
        <v>0</v>
      </c>
      <c r="U21" s="12">
        <f>IF(N21="",0,INDEX(Sheet2!A$2:A$6,MATCH(N21,Sheet2!C$2:C$6,0)))</f>
        <v>0</v>
      </c>
      <c r="V21" s="12">
        <f>IF(O21="",0,INDEX(Sheet2!A$2:A$6,MATCH(O21,Sheet2!C$2:C$6,0)))</f>
        <v>0</v>
      </c>
      <c r="W21" s="12">
        <f>IF(P21="",0,INDEX(Sheet2!A$2:A$6,MATCH(P21,Sheet2!C$2:C$6,0)))</f>
        <v>0</v>
      </c>
      <c r="X21" s="12">
        <f>IF(Q21="",0,INDEX(Sheet2!A$2:A$6,MATCH(Q21,Sheet2!C$2:C$6,0)))</f>
        <v>0</v>
      </c>
      <c r="Y21" s="12">
        <f>IF(R21="",0,INDEX(Sheet2!A$2:A$6,MATCH(R21,Sheet2!C$2:C$6,0)))</f>
        <v>0</v>
      </c>
      <c r="Z21" s="12">
        <f t="shared" si="1"/>
        <v>0</v>
      </c>
      <c r="AA21" s="12" t="str">
        <f>IF(I21&gt;=7500,"E",IF(I21&gt;=6800,"D",IF(I21&gt;=4200,"C",IF(I21&gt;=3000,"B",IF(I21&gt;=750,"A","Below Slab")))))</f>
        <v>A</v>
      </c>
      <c r="AB21" s="19" t="str">
        <f>IF(I21&gt;=7500,"Samsung front-load washing machine",IF(I21&gt;=6800,"Apple iPad",IF(I21&gt;=4200,"Robot Vacuum cleaner",IF(I21&gt;=3000,"Sony - sound bar, woofer and speakers",IF(I21&gt;=750,"Foot massager","Not eligible")))))</f>
        <v>Foot massager</v>
      </c>
    </row>
    <row r="22" spans="1:28" customFormat="1">
      <c r="A22" s="1" t="s">
        <v>166</v>
      </c>
      <c r="B22" s="21" t="s">
        <v>167</v>
      </c>
      <c r="C22" s="21" t="s">
        <v>53</v>
      </c>
      <c r="D22" s="1" t="s">
        <v>22</v>
      </c>
      <c r="E22" s="1" t="s">
        <v>143</v>
      </c>
      <c r="F22" s="1" t="s">
        <v>115</v>
      </c>
      <c r="G22" s="1" t="s">
        <v>10</v>
      </c>
      <c r="H22" s="23">
        <v>432.32</v>
      </c>
      <c r="I22" s="23">
        <v>16212</v>
      </c>
      <c r="J22" s="2" t="str">
        <f t="shared" si="0"/>
        <v/>
      </c>
      <c r="K22" s="2" t="str">
        <f>IF(J22="","",I22-J22)</f>
        <v/>
      </c>
      <c r="L22" s="1" t="s">
        <v>81</v>
      </c>
      <c r="M22" s="12"/>
      <c r="N22" s="12"/>
      <c r="O22" s="12"/>
      <c r="P22" s="12"/>
      <c r="Q22" s="12"/>
      <c r="R22" s="12"/>
      <c r="S22" s="12"/>
      <c r="T22" s="12">
        <f>IF(M22="",0,INDEX(Sheet2!A$2:A$6,MATCH(M22,Sheet2!C$2:C$6,0)))</f>
        <v>0</v>
      </c>
      <c r="U22" s="12">
        <f>IF(N22="",0,INDEX(Sheet2!A$2:A$6,MATCH(N22,Sheet2!C$2:C$6,0)))</f>
        <v>0</v>
      </c>
      <c r="V22" s="12">
        <f>IF(O22="",0,INDEX(Sheet2!A$2:A$6,MATCH(O22,Sheet2!C$2:C$6,0)))</f>
        <v>0</v>
      </c>
      <c r="W22" s="12">
        <f>IF(P22="",0,INDEX(Sheet2!A$2:A$6,MATCH(P22,Sheet2!C$2:C$6,0)))</f>
        <v>0</v>
      </c>
      <c r="X22" s="12">
        <f>IF(Q22="",0,INDEX(Sheet2!A$2:A$6,MATCH(Q22,Sheet2!C$2:C$6,0)))</f>
        <v>0</v>
      </c>
      <c r="Y22" s="12">
        <f>IF(R22="",0,INDEX(Sheet2!A$2:A$6,MATCH(R22,Sheet2!C$2:C$6,0)))</f>
        <v>0</v>
      </c>
      <c r="Z22" s="12">
        <f t="shared" si="1"/>
        <v>0</v>
      </c>
      <c r="AA22" s="12" t="str">
        <f>IF(I22&gt;=7500,"E",IF(I22&gt;=6800,"D",IF(I22&gt;=4200,"C",IF(I22&gt;=3000,"B",IF(I22&gt;=750,"A","Below Slab")))))</f>
        <v>E</v>
      </c>
      <c r="AB22" s="19" t="str">
        <f>IF(I22&gt;=7500,"Samsung front-load washing machine",IF(I22&gt;=6800,"Apple iPad",IF(I22&gt;=4200,"Robot Vacuum cleaner",IF(I22&gt;=3000,"Sony - sound bar, woofer and speakers",IF(I22&gt;=750,"Foot massager","Not eligible")))))</f>
        <v>Samsung front-load washing machine</v>
      </c>
    </row>
    <row r="23" spans="1:28" customFormat="1">
      <c r="A23" s="1" t="s">
        <v>168</v>
      </c>
      <c r="B23" s="21" t="s">
        <v>169</v>
      </c>
      <c r="C23" s="21" t="s">
        <v>53</v>
      </c>
      <c r="D23" s="1" t="s">
        <v>22</v>
      </c>
      <c r="E23" s="1" t="s">
        <v>143</v>
      </c>
      <c r="F23" s="1" t="s">
        <v>115</v>
      </c>
      <c r="G23" s="1" t="s">
        <v>10</v>
      </c>
      <c r="H23" s="23">
        <v>49.55</v>
      </c>
      <c r="I23" s="23">
        <v>1238.75</v>
      </c>
      <c r="J23" s="2" t="str">
        <f t="shared" si="0"/>
        <v/>
      </c>
      <c r="K23" s="2" t="str">
        <f>IF(J23="","",I23-J23)</f>
        <v/>
      </c>
      <c r="L23" s="1" t="s">
        <v>73</v>
      </c>
      <c r="M23" s="12"/>
      <c r="N23" s="12"/>
      <c r="O23" s="12"/>
      <c r="P23" s="12"/>
      <c r="Q23" s="12"/>
      <c r="R23" s="12"/>
      <c r="S23" s="12"/>
      <c r="T23" s="12">
        <f>IF(M23="",0,INDEX(Sheet2!A$2:A$6,MATCH(M23,Sheet2!C$2:C$6,0)))</f>
        <v>0</v>
      </c>
      <c r="U23" s="12">
        <f>IF(N23="",0,INDEX(Sheet2!A$2:A$6,MATCH(N23,Sheet2!C$2:C$6,0)))</f>
        <v>0</v>
      </c>
      <c r="V23" s="12">
        <f>IF(O23="",0,INDEX(Sheet2!A$2:A$6,MATCH(O23,Sheet2!C$2:C$6,0)))</f>
        <v>0</v>
      </c>
      <c r="W23" s="12">
        <f>IF(P23="",0,INDEX(Sheet2!A$2:A$6,MATCH(P23,Sheet2!C$2:C$6,0)))</f>
        <v>0</v>
      </c>
      <c r="X23" s="12">
        <f>IF(Q23="",0,INDEX(Sheet2!A$2:A$6,MATCH(Q23,Sheet2!C$2:C$6,0)))</f>
        <v>0</v>
      </c>
      <c r="Y23" s="12">
        <f>IF(R23="",0,INDEX(Sheet2!A$2:A$6,MATCH(R23,Sheet2!C$2:C$6,0)))</f>
        <v>0</v>
      </c>
      <c r="Z23" s="12">
        <f t="shared" si="1"/>
        <v>0</v>
      </c>
      <c r="AA23" s="12" t="str">
        <f>IF(I23&gt;=7500,"E",IF(I23&gt;=6800,"D",IF(I23&gt;=4200,"C",IF(I23&gt;=3000,"B",IF(I23&gt;=750,"A","Below Slab")))))</f>
        <v>A</v>
      </c>
      <c r="AB23" s="19" t="str">
        <f>IF(I23&gt;=7500,"Samsung front-load washing machine",IF(I23&gt;=6800,"Apple iPad",IF(I23&gt;=4200,"Robot Vacuum cleaner",IF(I23&gt;=3000,"Sony - sound bar, woofer and speakers",IF(I23&gt;=750,"Foot massager","Not eligible")))))</f>
        <v>Foot massager</v>
      </c>
    </row>
    <row r="24" spans="1:28" customFormat="1">
      <c r="A24" s="1" t="s">
        <v>170</v>
      </c>
      <c r="B24" s="21" t="s">
        <v>171</v>
      </c>
      <c r="C24" s="21" t="s">
        <v>53</v>
      </c>
      <c r="D24" s="1" t="s">
        <v>22</v>
      </c>
      <c r="E24" s="1" t="s">
        <v>143</v>
      </c>
      <c r="F24" s="1" t="s">
        <v>115</v>
      </c>
      <c r="G24" s="1" t="s">
        <v>10</v>
      </c>
      <c r="H24" s="23">
        <v>30.8</v>
      </c>
      <c r="I24" s="23">
        <v>770</v>
      </c>
      <c r="J24" s="2" t="str">
        <f t="shared" si="0"/>
        <v/>
      </c>
      <c r="K24" s="2" t="str">
        <f>IF(J24="","",I24-J24)</f>
        <v/>
      </c>
      <c r="L24" s="1" t="s">
        <v>73</v>
      </c>
      <c r="M24" s="12"/>
      <c r="N24" s="12"/>
      <c r="O24" s="12"/>
      <c r="P24" s="12"/>
      <c r="Q24" s="12"/>
      <c r="R24" s="12"/>
      <c r="S24" s="12"/>
      <c r="T24" s="12">
        <f>IF(M24="",0,INDEX(Sheet2!A$2:A$6,MATCH(M24,Sheet2!C$2:C$6,0)))</f>
        <v>0</v>
      </c>
      <c r="U24" s="12">
        <f>IF(N24="",0,INDEX(Sheet2!A$2:A$6,MATCH(N24,Sheet2!C$2:C$6,0)))</f>
        <v>0</v>
      </c>
      <c r="V24" s="12">
        <f>IF(O24="",0,INDEX(Sheet2!A$2:A$6,MATCH(O24,Sheet2!C$2:C$6,0)))</f>
        <v>0</v>
      </c>
      <c r="W24" s="12">
        <f>IF(P24="",0,INDEX(Sheet2!A$2:A$6,MATCH(P24,Sheet2!C$2:C$6,0)))</f>
        <v>0</v>
      </c>
      <c r="X24" s="12">
        <f>IF(Q24="",0,INDEX(Sheet2!A$2:A$6,MATCH(Q24,Sheet2!C$2:C$6,0)))</f>
        <v>0</v>
      </c>
      <c r="Y24" s="12">
        <f>IF(R24="",0,INDEX(Sheet2!A$2:A$6,MATCH(R24,Sheet2!C$2:C$6,0)))</f>
        <v>0</v>
      </c>
      <c r="Z24" s="12">
        <f t="shared" si="1"/>
        <v>0</v>
      </c>
      <c r="AA24" s="12" t="str">
        <f>IF(I24&gt;=7500,"E",IF(I24&gt;=6800,"D",IF(I24&gt;=4200,"C",IF(I24&gt;=3000,"B",IF(I24&gt;=750,"A","Below Slab")))))</f>
        <v>A</v>
      </c>
      <c r="AB24" s="19" t="str">
        <f>IF(I24&gt;=7500,"Samsung front-load washing machine",IF(I24&gt;=6800,"Apple iPad",IF(I24&gt;=4200,"Robot Vacuum cleaner",IF(I24&gt;=3000,"Sony - sound bar, woofer and speakers",IF(I24&gt;=750,"Foot massager","Not eligible")))))</f>
        <v>Foot massager</v>
      </c>
    </row>
    <row r="25" spans="1:28" customFormat="1">
      <c r="A25" s="1" t="s">
        <v>172</v>
      </c>
      <c r="B25" s="21" t="s">
        <v>173</v>
      </c>
      <c r="C25" s="21" t="s">
        <v>53</v>
      </c>
      <c r="D25" s="1" t="s">
        <v>22</v>
      </c>
      <c r="E25" s="1" t="s">
        <v>143</v>
      </c>
      <c r="F25" s="1" t="s">
        <v>115</v>
      </c>
      <c r="G25" s="1" t="s">
        <v>10</v>
      </c>
      <c r="H25" s="23">
        <v>104.78999999999999</v>
      </c>
      <c r="I25" s="23">
        <v>3143.7</v>
      </c>
      <c r="J25" s="2" t="str">
        <f t="shared" si="0"/>
        <v/>
      </c>
      <c r="K25" s="2" t="str">
        <f>IF(J25="","",I25-J25)</f>
        <v/>
      </c>
      <c r="L25" s="1" t="s">
        <v>134</v>
      </c>
      <c r="M25" s="12"/>
      <c r="N25" s="12"/>
      <c r="O25" s="12"/>
      <c r="P25" s="12"/>
      <c r="Q25" s="12"/>
      <c r="R25" s="12"/>
      <c r="S25" s="12"/>
      <c r="T25" s="12">
        <f>IF(M25="",0,INDEX(Sheet2!A$2:A$6,MATCH(M25,Sheet2!C$2:C$6,0)))</f>
        <v>0</v>
      </c>
      <c r="U25" s="12">
        <f>IF(N25="",0,INDEX(Sheet2!A$2:A$6,MATCH(N25,Sheet2!C$2:C$6,0)))</f>
        <v>0</v>
      </c>
      <c r="V25" s="12">
        <f>IF(O25="",0,INDEX(Sheet2!A$2:A$6,MATCH(O25,Sheet2!C$2:C$6,0)))</f>
        <v>0</v>
      </c>
      <c r="W25" s="12">
        <f>IF(P25="",0,INDEX(Sheet2!A$2:A$6,MATCH(P25,Sheet2!C$2:C$6,0)))</f>
        <v>0</v>
      </c>
      <c r="X25" s="12">
        <f>IF(Q25="",0,INDEX(Sheet2!A$2:A$6,MATCH(Q25,Sheet2!C$2:C$6,0)))</f>
        <v>0</v>
      </c>
      <c r="Y25" s="12">
        <f>IF(R25="",0,INDEX(Sheet2!A$2:A$6,MATCH(R25,Sheet2!C$2:C$6,0)))</f>
        <v>0</v>
      </c>
      <c r="Z25" s="12">
        <f t="shared" si="1"/>
        <v>0</v>
      </c>
      <c r="AA25" s="12" t="str">
        <f>IF(I25&gt;=7500,"E",IF(I25&gt;=6800,"D",IF(I25&gt;=4200,"C",IF(I25&gt;=3000,"B",IF(I25&gt;=750,"A","Below Slab")))))</f>
        <v>B</v>
      </c>
      <c r="AB25" s="19" t="str">
        <f>IF(I25&gt;=7500,"Samsung front-load washing machine",IF(I25&gt;=6800,"Apple iPad",IF(I25&gt;=4200,"Robot Vacuum cleaner",IF(I25&gt;=3000,"Sony - sound bar, woofer and speakers",IF(I25&gt;=750,"Foot massager","Not eligible")))))</f>
        <v>Sony - sound bar, woofer and speakers</v>
      </c>
    </row>
    <row r="26" spans="1:28" customFormat="1">
      <c r="A26" s="1" t="s">
        <v>174</v>
      </c>
      <c r="B26" s="21" t="s">
        <v>175</v>
      </c>
      <c r="C26" s="21" t="s">
        <v>53</v>
      </c>
      <c r="D26" s="1" t="s">
        <v>22</v>
      </c>
      <c r="E26" s="1" t="s">
        <v>143</v>
      </c>
      <c r="F26" s="1" t="s">
        <v>115</v>
      </c>
      <c r="G26" s="1" t="s">
        <v>10</v>
      </c>
      <c r="H26" s="23">
        <v>175.64999999999998</v>
      </c>
      <c r="I26" s="23">
        <v>5708.6249999999991</v>
      </c>
      <c r="J26" s="2" t="str">
        <f t="shared" si="0"/>
        <v/>
      </c>
      <c r="K26" s="2" t="str">
        <f>IF(J26="","",I26-J26)</f>
        <v/>
      </c>
      <c r="L26" s="1" t="s">
        <v>77</v>
      </c>
      <c r="M26" s="12"/>
      <c r="N26" s="12"/>
      <c r="O26" s="12"/>
      <c r="P26" s="12"/>
      <c r="Q26" s="12"/>
      <c r="R26" s="12"/>
      <c r="S26" s="12"/>
      <c r="T26" s="12">
        <f>IF(M26="",0,INDEX(Sheet2!A$2:A$6,MATCH(M26,Sheet2!C$2:C$6,0)))</f>
        <v>0</v>
      </c>
      <c r="U26" s="12">
        <f>IF(N26="",0,INDEX(Sheet2!A$2:A$6,MATCH(N26,Sheet2!C$2:C$6,0)))</f>
        <v>0</v>
      </c>
      <c r="V26" s="12">
        <f>IF(O26="",0,INDEX(Sheet2!A$2:A$6,MATCH(O26,Sheet2!C$2:C$6,0)))</f>
        <v>0</v>
      </c>
      <c r="W26" s="12">
        <f>IF(P26="",0,INDEX(Sheet2!A$2:A$6,MATCH(P26,Sheet2!C$2:C$6,0)))</f>
        <v>0</v>
      </c>
      <c r="X26" s="12">
        <f>IF(Q26="",0,INDEX(Sheet2!A$2:A$6,MATCH(Q26,Sheet2!C$2:C$6,0)))</f>
        <v>0</v>
      </c>
      <c r="Y26" s="12">
        <f>IF(R26="",0,INDEX(Sheet2!A$2:A$6,MATCH(R26,Sheet2!C$2:C$6,0)))</f>
        <v>0</v>
      </c>
      <c r="Z26" s="12">
        <f t="shared" si="1"/>
        <v>0</v>
      </c>
      <c r="AA26" s="12" t="str">
        <f>IF(I26&gt;=7500,"E",IF(I26&gt;=6800,"D",IF(I26&gt;=4200,"C",IF(I26&gt;=3000,"B",IF(I26&gt;=750,"A","Below Slab")))))</f>
        <v>C</v>
      </c>
      <c r="AB26" s="19" t="str">
        <f>IF(I26&gt;=7500,"Samsung front-load washing machine",IF(I26&gt;=6800,"Apple iPad",IF(I26&gt;=4200,"Robot Vacuum cleaner",IF(I26&gt;=3000,"Sony - sound bar, woofer and speakers",IF(I26&gt;=750,"Foot massager","Not eligible")))))</f>
        <v>Robot Vacuum cleaner</v>
      </c>
    </row>
    <row r="27" spans="1:28" customFormat="1">
      <c r="A27" s="1" t="s">
        <v>176</v>
      </c>
      <c r="B27" s="21" t="s">
        <v>177</v>
      </c>
      <c r="C27" s="21" t="s">
        <v>53</v>
      </c>
      <c r="D27" s="1" t="s">
        <v>22</v>
      </c>
      <c r="E27" s="1" t="s">
        <v>178</v>
      </c>
      <c r="F27" s="1" t="s">
        <v>115</v>
      </c>
      <c r="G27" s="1" t="s">
        <v>10</v>
      </c>
      <c r="H27" s="23">
        <v>30.3</v>
      </c>
      <c r="I27" s="23">
        <v>757.5</v>
      </c>
      <c r="J27" s="2" t="str">
        <f t="shared" si="0"/>
        <v/>
      </c>
      <c r="K27" s="2" t="str">
        <f>IF(J27="","",I27-J27)</f>
        <v/>
      </c>
      <c r="L27" s="1" t="s">
        <v>73</v>
      </c>
      <c r="M27" s="12"/>
      <c r="N27" s="12"/>
      <c r="O27" s="12"/>
      <c r="P27" s="12"/>
      <c r="Q27" s="12"/>
      <c r="R27" s="12"/>
      <c r="S27" s="12"/>
      <c r="T27" s="12">
        <f>IF(M27="",0,INDEX(Sheet2!A$2:A$6,MATCH(M27,Sheet2!C$2:C$6,0)))</f>
        <v>0</v>
      </c>
      <c r="U27" s="12">
        <f>IF(N27="",0,INDEX(Sheet2!A$2:A$6,MATCH(N27,Sheet2!C$2:C$6,0)))</f>
        <v>0</v>
      </c>
      <c r="V27" s="12">
        <f>IF(O27="",0,INDEX(Sheet2!A$2:A$6,MATCH(O27,Sheet2!C$2:C$6,0)))</f>
        <v>0</v>
      </c>
      <c r="W27" s="12">
        <f>IF(P27="",0,INDEX(Sheet2!A$2:A$6,MATCH(P27,Sheet2!C$2:C$6,0)))</f>
        <v>0</v>
      </c>
      <c r="X27" s="12">
        <f>IF(Q27="",0,INDEX(Sheet2!A$2:A$6,MATCH(Q27,Sheet2!C$2:C$6,0)))</f>
        <v>0</v>
      </c>
      <c r="Y27" s="12">
        <f>IF(R27="",0,INDEX(Sheet2!A$2:A$6,MATCH(R27,Sheet2!C$2:C$6,0)))</f>
        <v>0</v>
      </c>
      <c r="Z27" s="12">
        <f t="shared" si="1"/>
        <v>0</v>
      </c>
      <c r="AA27" s="12" t="str">
        <f>IF(I27&gt;=7500,"E",IF(I27&gt;=6800,"D",IF(I27&gt;=4200,"C",IF(I27&gt;=3000,"B",IF(I27&gt;=750,"A","Below Slab")))))</f>
        <v>A</v>
      </c>
      <c r="AB27" s="19" t="str">
        <f>IF(I27&gt;=7500,"Samsung front-load washing machine",IF(I27&gt;=6800,"Apple iPad",IF(I27&gt;=4200,"Robot Vacuum cleaner",IF(I27&gt;=3000,"Sony - sound bar, woofer and speakers",IF(I27&gt;=750,"Foot massager","Not eligible")))))</f>
        <v>Foot massager</v>
      </c>
    </row>
    <row r="28" spans="1:28" customFormat="1">
      <c r="A28" s="1" t="s">
        <v>179</v>
      </c>
      <c r="B28" s="21" t="s">
        <v>180</v>
      </c>
      <c r="C28" s="21" t="s">
        <v>53</v>
      </c>
      <c r="D28" s="1" t="s">
        <v>22</v>
      </c>
      <c r="E28" s="1" t="s">
        <v>143</v>
      </c>
      <c r="F28" s="1" t="s">
        <v>115</v>
      </c>
      <c r="G28" s="1" t="s">
        <v>10</v>
      </c>
      <c r="H28" s="23">
        <v>34.5</v>
      </c>
      <c r="I28" s="23">
        <v>862.5</v>
      </c>
      <c r="J28" s="2" t="str">
        <f t="shared" si="0"/>
        <v/>
      </c>
      <c r="K28" s="2" t="str">
        <f>IF(J28="","",I28-J28)</f>
        <v/>
      </c>
      <c r="L28" s="1" t="s">
        <v>73</v>
      </c>
      <c r="M28" s="12"/>
      <c r="N28" s="12"/>
      <c r="O28" s="12"/>
      <c r="P28" s="12"/>
      <c r="Q28" s="12"/>
      <c r="R28" s="12"/>
      <c r="S28" s="12"/>
      <c r="T28" s="12">
        <f>IF(M28="",0,INDEX(Sheet2!A$2:A$6,MATCH(M28,Sheet2!C$2:C$6,0)))</f>
        <v>0</v>
      </c>
      <c r="U28" s="12">
        <f>IF(N28="",0,INDEX(Sheet2!A$2:A$6,MATCH(N28,Sheet2!C$2:C$6,0)))</f>
        <v>0</v>
      </c>
      <c r="V28" s="12">
        <f>IF(O28="",0,INDEX(Sheet2!A$2:A$6,MATCH(O28,Sheet2!C$2:C$6,0)))</f>
        <v>0</v>
      </c>
      <c r="W28" s="12">
        <f>IF(P28="",0,INDEX(Sheet2!A$2:A$6,MATCH(P28,Sheet2!C$2:C$6,0)))</f>
        <v>0</v>
      </c>
      <c r="X28" s="12">
        <f>IF(Q28="",0,INDEX(Sheet2!A$2:A$6,MATCH(Q28,Sheet2!C$2:C$6,0)))</f>
        <v>0</v>
      </c>
      <c r="Y28" s="12">
        <f>IF(R28="",0,INDEX(Sheet2!A$2:A$6,MATCH(R28,Sheet2!C$2:C$6,0)))</f>
        <v>0</v>
      </c>
      <c r="Z28" s="12">
        <f t="shared" si="1"/>
        <v>0</v>
      </c>
      <c r="AA28" s="12" t="str">
        <f>IF(I28&gt;=7500,"E",IF(I28&gt;=6800,"D",IF(I28&gt;=4200,"C",IF(I28&gt;=3000,"B",IF(I28&gt;=750,"A","Below Slab")))))</f>
        <v>A</v>
      </c>
      <c r="AB28" s="19" t="str">
        <f>IF(I28&gt;=7500,"Samsung front-load washing machine",IF(I28&gt;=6800,"Apple iPad",IF(I28&gt;=4200,"Robot Vacuum cleaner",IF(I28&gt;=3000,"Sony - sound bar, woofer and speakers",IF(I28&gt;=750,"Foot massager","Not eligible")))))</f>
        <v>Foot massager</v>
      </c>
    </row>
    <row r="29" spans="1:28" customFormat="1">
      <c r="A29" s="1" t="s">
        <v>181</v>
      </c>
      <c r="B29" s="21" t="s">
        <v>182</v>
      </c>
      <c r="C29" s="21" t="s">
        <v>53</v>
      </c>
      <c r="D29" s="1" t="s">
        <v>22</v>
      </c>
      <c r="E29" s="1" t="s">
        <v>143</v>
      </c>
      <c r="F29" s="1" t="s">
        <v>115</v>
      </c>
      <c r="G29" s="1" t="s">
        <v>10</v>
      </c>
      <c r="H29" s="23">
        <v>101</v>
      </c>
      <c r="I29" s="23">
        <v>3030</v>
      </c>
      <c r="J29" s="2" t="str">
        <f t="shared" si="0"/>
        <v/>
      </c>
      <c r="K29" s="2" t="str">
        <f>IF(J29="","",I29-J29)</f>
        <v/>
      </c>
      <c r="L29" s="1" t="s">
        <v>134</v>
      </c>
      <c r="M29" s="12"/>
      <c r="N29" s="12"/>
      <c r="O29" s="12"/>
      <c r="P29" s="12"/>
      <c r="Q29" s="12"/>
      <c r="R29" s="12"/>
      <c r="S29" s="12"/>
      <c r="T29" s="12">
        <f>IF(M29="",0,INDEX(Sheet2!A$2:A$6,MATCH(M29,Sheet2!C$2:C$6,0)))</f>
        <v>0</v>
      </c>
      <c r="U29" s="12">
        <f>IF(N29="",0,INDEX(Sheet2!A$2:A$6,MATCH(N29,Sheet2!C$2:C$6,0)))</f>
        <v>0</v>
      </c>
      <c r="V29" s="12">
        <f>IF(O29="",0,INDEX(Sheet2!A$2:A$6,MATCH(O29,Sheet2!C$2:C$6,0)))</f>
        <v>0</v>
      </c>
      <c r="W29" s="12">
        <f>IF(P29="",0,INDEX(Sheet2!A$2:A$6,MATCH(P29,Sheet2!C$2:C$6,0)))</f>
        <v>0</v>
      </c>
      <c r="X29" s="12">
        <f>IF(Q29="",0,INDEX(Sheet2!A$2:A$6,MATCH(Q29,Sheet2!C$2:C$6,0)))</f>
        <v>0</v>
      </c>
      <c r="Y29" s="12">
        <f>IF(R29="",0,INDEX(Sheet2!A$2:A$6,MATCH(R29,Sheet2!C$2:C$6,0)))</f>
        <v>0</v>
      </c>
      <c r="Z29" s="12">
        <f t="shared" si="1"/>
        <v>0</v>
      </c>
      <c r="AA29" s="12" t="str">
        <f>IF(I29&gt;=7500,"E",IF(I29&gt;=6800,"D",IF(I29&gt;=4200,"C",IF(I29&gt;=3000,"B",IF(I29&gt;=750,"A","Below Slab")))))</f>
        <v>B</v>
      </c>
      <c r="AB29" s="19" t="str">
        <f>IF(I29&gt;=7500,"Samsung front-load washing machine",IF(I29&gt;=6800,"Apple iPad",IF(I29&gt;=4200,"Robot Vacuum cleaner",IF(I29&gt;=3000,"Sony - sound bar, woofer and speakers",IF(I29&gt;=750,"Foot massager","Not eligible")))))</f>
        <v>Sony - sound bar, woofer and speakers</v>
      </c>
    </row>
    <row r="30" spans="1:28" customFormat="1">
      <c r="A30" s="1" t="s">
        <v>183</v>
      </c>
      <c r="B30" s="21" t="s">
        <v>184</v>
      </c>
      <c r="C30" s="21" t="s">
        <v>61</v>
      </c>
      <c r="D30" s="1" t="s">
        <v>23</v>
      </c>
      <c r="E30" s="1" t="s">
        <v>185</v>
      </c>
      <c r="F30" s="1" t="s">
        <v>115</v>
      </c>
      <c r="G30" s="1" t="s">
        <v>10</v>
      </c>
      <c r="H30" s="23">
        <v>75.290000000000006</v>
      </c>
      <c r="I30" s="23">
        <v>2070.4750000000004</v>
      </c>
      <c r="J30" s="2" t="str">
        <f t="shared" si="0"/>
        <v/>
      </c>
      <c r="K30" s="2" t="str">
        <f>IF(J30="","",I30-J30)</f>
        <v/>
      </c>
      <c r="L30" s="1" t="s">
        <v>73</v>
      </c>
      <c r="M30" s="12"/>
      <c r="N30" s="12"/>
      <c r="O30" s="12"/>
      <c r="P30" s="12"/>
      <c r="Q30" s="12"/>
      <c r="R30" s="12"/>
      <c r="S30" s="12"/>
      <c r="T30" s="12">
        <f>IF(M30="",0,INDEX(Sheet2!A$2:A$6,MATCH(M30,Sheet2!C$2:C$6,0)))</f>
        <v>0</v>
      </c>
      <c r="U30" s="12">
        <f>IF(N30="",0,INDEX(Sheet2!A$2:A$6,MATCH(N30,Sheet2!C$2:C$6,0)))</f>
        <v>0</v>
      </c>
      <c r="V30" s="12">
        <f>IF(O30="",0,INDEX(Sheet2!A$2:A$6,MATCH(O30,Sheet2!C$2:C$6,0)))</f>
        <v>0</v>
      </c>
      <c r="W30" s="12">
        <f>IF(P30="",0,INDEX(Sheet2!A$2:A$6,MATCH(P30,Sheet2!C$2:C$6,0)))</f>
        <v>0</v>
      </c>
      <c r="X30" s="12">
        <f>IF(Q30="",0,INDEX(Sheet2!A$2:A$6,MATCH(Q30,Sheet2!C$2:C$6,0)))</f>
        <v>0</v>
      </c>
      <c r="Y30" s="12">
        <f>IF(R30="",0,INDEX(Sheet2!A$2:A$6,MATCH(R30,Sheet2!C$2:C$6,0)))</f>
        <v>0</v>
      </c>
      <c r="Z30" s="12">
        <f t="shared" si="1"/>
        <v>0</v>
      </c>
      <c r="AA30" s="12" t="str">
        <f>IF(I30&gt;=7500,"E",IF(I30&gt;=6800,"D",IF(I30&gt;=4200,"C",IF(I30&gt;=3000,"B",IF(I30&gt;=750,"A","Below Slab")))))</f>
        <v>A</v>
      </c>
      <c r="AB30" s="19" t="str">
        <f>IF(I30&gt;=7500,"Samsung front-load washing machine",IF(I30&gt;=6800,"Apple iPad",IF(I30&gt;=4200,"Robot Vacuum cleaner",IF(I30&gt;=3000,"Sony - sound bar, woofer and speakers",IF(I30&gt;=750,"Foot massager","Not eligible")))))</f>
        <v>Foot massager</v>
      </c>
    </row>
    <row r="31" spans="1:28" customFormat="1">
      <c r="A31" s="1" t="s">
        <v>186</v>
      </c>
      <c r="B31" s="21" t="s">
        <v>187</v>
      </c>
      <c r="C31" s="21" t="s">
        <v>61</v>
      </c>
      <c r="D31" s="1" t="s">
        <v>188</v>
      </c>
      <c r="E31" s="1" t="s">
        <v>189</v>
      </c>
      <c r="F31" s="1" t="s">
        <v>115</v>
      </c>
      <c r="G31" s="1" t="s">
        <v>10</v>
      </c>
      <c r="H31" s="23">
        <v>87.37</v>
      </c>
      <c r="I31" s="23">
        <v>2402.6750000000002</v>
      </c>
      <c r="J31" s="2" t="str">
        <f t="shared" si="0"/>
        <v/>
      </c>
      <c r="K31" s="2" t="str">
        <f>IF(J31="","",I31-J31)</f>
        <v/>
      </c>
      <c r="L31" s="1" t="s">
        <v>73</v>
      </c>
      <c r="M31" s="12"/>
      <c r="N31" s="12"/>
      <c r="O31" s="12"/>
      <c r="P31" s="12"/>
      <c r="Q31" s="12"/>
      <c r="R31" s="12"/>
      <c r="S31" s="12"/>
      <c r="T31" s="12">
        <f>IF(M31="",0,INDEX(Sheet2!A$2:A$6,MATCH(M31,Sheet2!C$2:C$6,0)))</f>
        <v>0</v>
      </c>
      <c r="U31" s="12">
        <f>IF(N31="",0,INDEX(Sheet2!A$2:A$6,MATCH(N31,Sheet2!C$2:C$6,0)))</f>
        <v>0</v>
      </c>
      <c r="V31" s="12">
        <f>IF(O31="",0,INDEX(Sheet2!A$2:A$6,MATCH(O31,Sheet2!C$2:C$6,0)))</f>
        <v>0</v>
      </c>
      <c r="W31" s="12">
        <f>IF(P31="",0,INDEX(Sheet2!A$2:A$6,MATCH(P31,Sheet2!C$2:C$6,0)))</f>
        <v>0</v>
      </c>
      <c r="X31" s="12">
        <f>IF(Q31="",0,INDEX(Sheet2!A$2:A$6,MATCH(Q31,Sheet2!C$2:C$6,0)))</f>
        <v>0</v>
      </c>
      <c r="Y31" s="12">
        <f>IF(R31="",0,INDEX(Sheet2!A$2:A$6,MATCH(R31,Sheet2!C$2:C$6,0)))</f>
        <v>0</v>
      </c>
      <c r="Z31" s="12">
        <f t="shared" si="1"/>
        <v>0</v>
      </c>
      <c r="AA31" s="12" t="str">
        <f>IF(I31&gt;=7500,"E",IF(I31&gt;=6800,"D",IF(I31&gt;=4200,"C",IF(I31&gt;=3000,"B",IF(I31&gt;=750,"A","Below Slab")))))</f>
        <v>A</v>
      </c>
      <c r="AB31" s="19" t="str">
        <f>IF(I31&gt;=7500,"Samsung front-load washing machine",IF(I31&gt;=6800,"Apple iPad",IF(I31&gt;=4200,"Robot Vacuum cleaner",IF(I31&gt;=3000,"Sony - sound bar, woofer and speakers",IF(I31&gt;=750,"Foot massager","Not eligible")))))</f>
        <v>Foot massager</v>
      </c>
    </row>
    <row r="32" spans="1:28" customFormat="1">
      <c r="A32" s="1" t="s">
        <v>190</v>
      </c>
      <c r="B32" s="21" t="s">
        <v>191</v>
      </c>
      <c r="C32" s="21" t="s">
        <v>61</v>
      </c>
      <c r="D32" s="1" t="s">
        <v>23</v>
      </c>
      <c r="E32" s="1" t="s">
        <v>192</v>
      </c>
      <c r="F32" s="1" t="s">
        <v>115</v>
      </c>
      <c r="G32" s="1" t="s">
        <v>10</v>
      </c>
      <c r="H32" s="23">
        <v>41.5</v>
      </c>
      <c r="I32" s="23">
        <v>1037.5</v>
      </c>
      <c r="J32" s="2" t="str">
        <f t="shared" si="0"/>
        <v/>
      </c>
      <c r="K32" s="2" t="str">
        <f>IF(J32="","",I32-J32)</f>
        <v/>
      </c>
      <c r="L32" s="1" t="s">
        <v>73</v>
      </c>
      <c r="M32" s="12"/>
      <c r="N32" s="12"/>
      <c r="O32" s="12"/>
      <c r="P32" s="12"/>
      <c r="Q32" s="12"/>
      <c r="R32" s="12"/>
      <c r="S32" s="12"/>
      <c r="T32" s="12">
        <f>IF(M32="",0,INDEX(Sheet2!A$2:A$6,MATCH(M32,Sheet2!C$2:C$6,0)))</f>
        <v>0</v>
      </c>
      <c r="U32" s="12">
        <f>IF(N32="",0,INDEX(Sheet2!A$2:A$6,MATCH(N32,Sheet2!C$2:C$6,0)))</f>
        <v>0</v>
      </c>
      <c r="V32" s="12">
        <f>IF(O32="",0,INDEX(Sheet2!A$2:A$6,MATCH(O32,Sheet2!C$2:C$6,0)))</f>
        <v>0</v>
      </c>
      <c r="W32" s="12">
        <f>IF(P32="",0,INDEX(Sheet2!A$2:A$6,MATCH(P32,Sheet2!C$2:C$6,0)))</f>
        <v>0</v>
      </c>
      <c r="X32" s="12">
        <f>IF(Q32="",0,INDEX(Sheet2!A$2:A$6,MATCH(Q32,Sheet2!C$2:C$6,0)))</f>
        <v>0</v>
      </c>
      <c r="Y32" s="12">
        <f>IF(R32="",0,INDEX(Sheet2!A$2:A$6,MATCH(R32,Sheet2!C$2:C$6,0)))</f>
        <v>0</v>
      </c>
      <c r="Z32" s="12">
        <f t="shared" si="1"/>
        <v>0</v>
      </c>
      <c r="AA32" s="12" t="str">
        <f>IF(I32&gt;=7500,"E",IF(I32&gt;=6800,"D",IF(I32&gt;=4200,"C",IF(I32&gt;=3000,"B",IF(I32&gt;=750,"A","Below Slab")))))</f>
        <v>A</v>
      </c>
      <c r="AB32" s="19" t="str">
        <f>IF(I32&gt;=7500,"Samsung front-load washing machine",IF(I32&gt;=6800,"Apple iPad",IF(I32&gt;=4200,"Robot Vacuum cleaner",IF(I32&gt;=3000,"Sony - sound bar, woofer and speakers",IF(I32&gt;=750,"Foot massager","Not eligible")))))</f>
        <v>Foot massager</v>
      </c>
    </row>
    <row r="33" spans="1:28" customFormat="1">
      <c r="A33" s="1" t="s">
        <v>193</v>
      </c>
      <c r="B33" s="21" t="s">
        <v>194</v>
      </c>
      <c r="C33" s="21" t="s">
        <v>61</v>
      </c>
      <c r="D33" s="1" t="s">
        <v>23</v>
      </c>
      <c r="E33" s="1" t="s">
        <v>192</v>
      </c>
      <c r="F33" s="1" t="s">
        <v>115</v>
      </c>
      <c r="G33" s="1" t="s">
        <v>10</v>
      </c>
      <c r="H33" s="23">
        <v>41.32</v>
      </c>
      <c r="I33" s="23">
        <v>1033</v>
      </c>
      <c r="J33" s="2" t="str">
        <f t="shared" si="0"/>
        <v/>
      </c>
      <c r="K33" s="2" t="str">
        <f>IF(J33="","",I33-J33)</f>
        <v/>
      </c>
      <c r="L33" s="1" t="s">
        <v>73</v>
      </c>
      <c r="M33" s="12"/>
      <c r="N33" s="12"/>
      <c r="O33" s="12"/>
      <c r="P33" s="12"/>
      <c r="Q33" s="12"/>
      <c r="R33" s="12"/>
      <c r="S33" s="12"/>
      <c r="T33" s="12">
        <f>IF(M33="",0,INDEX(Sheet2!A$2:A$6,MATCH(M33,Sheet2!C$2:C$6,0)))</f>
        <v>0</v>
      </c>
      <c r="U33" s="12">
        <f>IF(N33="",0,INDEX(Sheet2!A$2:A$6,MATCH(N33,Sheet2!C$2:C$6,0)))</f>
        <v>0</v>
      </c>
      <c r="V33" s="12">
        <f>IF(O33="",0,INDEX(Sheet2!A$2:A$6,MATCH(O33,Sheet2!C$2:C$6,0)))</f>
        <v>0</v>
      </c>
      <c r="W33" s="12">
        <f>IF(P33="",0,INDEX(Sheet2!A$2:A$6,MATCH(P33,Sheet2!C$2:C$6,0)))</f>
        <v>0</v>
      </c>
      <c r="X33" s="12">
        <f>IF(Q33="",0,INDEX(Sheet2!A$2:A$6,MATCH(Q33,Sheet2!C$2:C$6,0)))</f>
        <v>0</v>
      </c>
      <c r="Y33" s="12">
        <f>IF(R33="",0,INDEX(Sheet2!A$2:A$6,MATCH(R33,Sheet2!C$2:C$6,0)))</f>
        <v>0</v>
      </c>
      <c r="Z33" s="12">
        <f t="shared" si="1"/>
        <v>0</v>
      </c>
      <c r="AA33" s="12" t="str">
        <f>IF(I33&gt;=7500,"E",IF(I33&gt;=6800,"D",IF(I33&gt;=4200,"C",IF(I33&gt;=3000,"B",IF(I33&gt;=750,"A","Below Slab")))))</f>
        <v>A</v>
      </c>
      <c r="AB33" s="19" t="str">
        <f>IF(I33&gt;=7500,"Samsung front-load washing machine",IF(I33&gt;=6800,"Apple iPad",IF(I33&gt;=4200,"Robot Vacuum cleaner",IF(I33&gt;=3000,"Sony - sound bar, woofer and speakers",IF(I33&gt;=750,"Foot massager","Not eligible")))))</f>
        <v>Foot massager</v>
      </c>
    </row>
    <row r="34" spans="1:28" customFormat="1">
      <c r="A34" s="1" t="s">
        <v>195</v>
      </c>
      <c r="B34" s="21" t="s">
        <v>196</v>
      </c>
      <c r="C34" s="21" t="s">
        <v>36</v>
      </c>
      <c r="D34" s="1" t="s">
        <v>24</v>
      </c>
      <c r="E34" s="1" t="s">
        <v>197</v>
      </c>
      <c r="F34" s="1" t="s">
        <v>115</v>
      </c>
      <c r="G34" s="1" t="s">
        <v>10</v>
      </c>
      <c r="H34" s="23">
        <v>54.46</v>
      </c>
      <c r="I34" s="23">
        <v>1497.65</v>
      </c>
      <c r="J34" s="2" t="str">
        <f t="shared" si="0"/>
        <v/>
      </c>
      <c r="K34" s="2" t="str">
        <f>IF(J34="","",I34-J34)</f>
        <v/>
      </c>
      <c r="L34" s="1" t="s">
        <v>73</v>
      </c>
      <c r="M34" s="12"/>
      <c r="N34" s="12"/>
      <c r="O34" s="12"/>
      <c r="P34" s="12"/>
      <c r="Q34" s="12"/>
      <c r="R34" s="12"/>
      <c r="S34" s="12"/>
      <c r="T34" s="12">
        <f>IF(M34="",0,INDEX(Sheet2!A$2:A$6,MATCH(M34,Sheet2!C$2:C$6,0)))</f>
        <v>0</v>
      </c>
      <c r="U34" s="12">
        <f>IF(N34="",0,INDEX(Sheet2!A$2:A$6,MATCH(N34,Sheet2!C$2:C$6,0)))</f>
        <v>0</v>
      </c>
      <c r="V34" s="12">
        <f>IF(O34="",0,INDEX(Sheet2!A$2:A$6,MATCH(O34,Sheet2!C$2:C$6,0)))</f>
        <v>0</v>
      </c>
      <c r="W34" s="12">
        <f>IF(P34="",0,INDEX(Sheet2!A$2:A$6,MATCH(P34,Sheet2!C$2:C$6,0)))</f>
        <v>0</v>
      </c>
      <c r="X34" s="12">
        <f>IF(Q34="",0,INDEX(Sheet2!A$2:A$6,MATCH(Q34,Sheet2!C$2:C$6,0)))</f>
        <v>0</v>
      </c>
      <c r="Y34" s="12">
        <f>IF(R34="",0,INDEX(Sheet2!A$2:A$6,MATCH(R34,Sheet2!C$2:C$6,0)))</f>
        <v>0</v>
      </c>
      <c r="Z34" s="12">
        <f t="shared" si="1"/>
        <v>0</v>
      </c>
      <c r="AA34" s="12" t="str">
        <f>IF(I34&gt;=7500,"E",IF(I34&gt;=6800,"D",IF(I34&gt;=4200,"C",IF(I34&gt;=3000,"B",IF(I34&gt;=750,"A","Below Slab")))))</f>
        <v>A</v>
      </c>
      <c r="AB34" s="19" t="str">
        <f>IF(I34&gt;=7500,"Samsung front-load washing machine",IF(I34&gt;=6800,"Apple iPad",IF(I34&gt;=4200,"Robot Vacuum cleaner",IF(I34&gt;=3000,"Sony - sound bar, woofer and speakers",IF(I34&gt;=750,"Foot massager","Not eligible")))))</f>
        <v>Foot massager</v>
      </c>
    </row>
    <row r="35" spans="1:28" customFormat="1">
      <c r="A35" s="1" t="s">
        <v>198</v>
      </c>
      <c r="B35" s="21" t="s">
        <v>199</v>
      </c>
      <c r="C35" s="21" t="s">
        <v>36</v>
      </c>
      <c r="D35" s="1" t="s">
        <v>24</v>
      </c>
      <c r="E35" s="1" t="s">
        <v>200</v>
      </c>
      <c r="F35" s="1" t="s">
        <v>115</v>
      </c>
      <c r="G35" s="1" t="s">
        <v>10</v>
      </c>
      <c r="H35" s="23">
        <v>83.4</v>
      </c>
      <c r="I35" s="23">
        <v>2293.5</v>
      </c>
      <c r="J35" s="2" t="str">
        <f t="shared" si="0"/>
        <v/>
      </c>
      <c r="K35" s="2" t="str">
        <f>IF(J35="","",I35-J35)</f>
        <v/>
      </c>
      <c r="L35" s="1" t="s">
        <v>73</v>
      </c>
      <c r="M35" s="12"/>
      <c r="N35" s="12"/>
      <c r="O35" s="12"/>
      <c r="P35" s="12"/>
      <c r="Q35" s="12"/>
      <c r="R35" s="12"/>
      <c r="S35" s="12"/>
      <c r="T35" s="12">
        <f>IF(M35="",0,INDEX(Sheet2!A$2:A$6,MATCH(M35,Sheet2!C$2:C$6,0)))</f>
        <v>0</v>
      </c>
      <c r="U35" s="12">
        <f>IF(N35="",0,INDEX(Sheet2!A$2:A$6,MATCH(N35,Sheet2!C$2:C$6,0)))</f>
        <v>0</v>
      </c>
      <c r="V35" s="12">
        <f>IF(O35="",0,INDEX(Sheet2!A$2:A$6,MATCH(O35,Sheet2!C$2:C$6,0)))</f>
        <v>0</v>
      </c>
      <c r="W35" s="12">
        <f>IF(P35="",0,INDEX(Sheet2!A$2:A$6,MATCH(P35,Sheet2!C$2:C$6,0)))</f>
        <v>0</v>
      </c>
      <c r="X35" s="12">
        <f>IF(Q35="",0,INDEX(Sheet2!A$2:A$6,MATCH(Q35,Sheet2!C$2:C$6,0)))</f>
        <v>0</v>
      </c>
      <c r="Y35" s="12">
        <f>IF(R35="",0,INDEX(Sheet2!A$2:A$6,MATCH(R35,Sheet2!C$2:C$6,0)))</f>
        <v>0</v>
      </c>
      <c r="Z35" s="12">
        <f t="shared" si="1"/>
        <v>0</v>
      </c>
      <c r="AA35" s="12" t="str">
        <f>IF(I35&gt;=7500,"E",IF(I35&gt;=6800,"D",IF(I35&gt;=4200,"C",IF(I35&gt;=3000,"B",IF(I35&gt;=750,"A","Below Slab")))))</f>
        <v>A</v>
      </c>
      <c r="AB35" s="19" t="str">
        <f>IF(I35&gt;=7500,"Samsung front-load washing machine",IF(I35&gt;=6800,"Apple iPad",IF(I35&gt;=4200,"Robot Vacuum cleaner",IF(I35&gt;=3000,"Sony - sound bar, woofer and speakers",IF(I35&gt;=750,"Foot massager","Not eligible")))))</f>
        <v>Foot massager</v>
      </c>
    </row>
    <row r="36" spans="1:28" customFormat="1">
      <c r="A36" s="1" t="s">
        <v>201</v>
      </c>
      <c r="B36" s="21" t="s">
        <v>202</v>
      </c>
      <c r="C36" s="21" t="s">
        <v>50</v>
      </c>
      <c r="D36" s="1" t="s">
        <v>24</v>
      </c>
      <c r="E36" s="1" t="s">
        <v>203</v>
      </c>
      <c r="F36" s="1" t="s">
        <v>115</v>
      </c>
      <c r="G36" s="1" t="s">
        <v>10</v>
      </c>
      <c r="H36" s="23">
        <v>170.97</v>
      </c>
      <c r="I36" s="23">
        <v>5556.5250000000005</v>
      </c>
      <c r="J36" s="2" t="str">
        <f t="shared" si="0"/>
        <v/>
      </c>
      <c r="K36" s="2" t="str">
        <f>IF(J36="","",I36-J36)</f>
        <v/>
      </c>
      <c r="L36" s="1" t="s">
        <v>77</v>
      </c>
      <c r="M36" s="12"/>
      <c r="N36" s="12"/>
      <c r="O36" s="12"/>
      <c r="P36" s="12"/>
      <c r="Q36" s="12"/>
      <c r="R36" s="12"/>
      <c r="S36" s="12"/>
      <c r="T36" s="12">
        <f>IF(M36="",0,INDEX(Sheet2!A$2:A$6,MATCH(M36,Sheet2!C$2:C$6,0)))</f>
        <v>0</v>
      </c>
      <c r="U36" s="12">
        <f>IF(N36="",0,INDEX(Sheet2!A$2:A$6,MATCH(N36,Sheet2!C$2:C$6,0)))</f>
        <v>0</v>
      </c>
      <c r="V36" s="12">
        <f>IF(O36="",0,INDEX(Sheet2!A$2:A$6,MATCH(O36,Sheet2!C$2:C$6,0)))</f>
        <v>0</v>
      </c>
      <c r="W36" s="12">
        <f>IF(P36="",0,INDEX(Sheet2!A$2:A$6,MATCH(P36,Sheet2!C$2:C$6,0)))</f>
        <v>0</v>
      </c>
      <c r="X36" s="12">
        <f>IF(Q36="",0,INDEX(Sheet2!A$2:A$6,MATCH(Q36,Sheet2!C$2:C$6,0)))</f>
        <v>0</v>
      </c>
      <c r="Y36" s="12">
        <f>IF(R36="",0,INDEX(Sheet2!A$2:A$6,MATCH(R36,Sheet2!C$2:C$6,0)))</f>
        <v>0</v>
      </c>
      <c r="Z36" s="12">
        <f t="shared" si="1"/>
        <v>0</v>
      </c>
      <c r="AA36" s="12" t="str">
        <f>IF(I36&gt;=7500,"E",IF(I36&gt;=6800,"D",IF(I36&gt;=4200,"C",IF(I36&gt;=3000,"B",IF(I36&gt;=750,"A","Below Slab")))))</f>
        <v>C</v>
      </c>
      <c r="AB36" s="19" t="str">
        <f>IF(I36&gt;=7500,"Samsung front-load washing machine",IF(I36&gt;=6800,"Apple iPad",IF(I36&gt;=4200,"Robot Vacuum cleaner",IF(I36&gt;=3000,"Sony - sound bar, woofer and speakers",IF(I36&gt;=750,"Foot massager","Not eligible")))))</f>
        <v>Robot Vacuum cleaner</v>
      </c>
    </row>
    <row r="37" spans="1:28" customFormat="1">
      <c r="A37" s="1" t="s">
        <v>204</v>
      </c>
      <c r="B37" s="21" t="s">
        <v>205</v>
      </c>
      <c r="C37" s="21" t="s">
        <v>50</v>
      </c>
      <c r="D37" s="1" t="s">
        <v>24</v>
      </c>
      <c r="E37" s="1" t="s">
        <v>206</v>
      </c>
      <c r="F37" s="1" t="s">
        <v>115</v>
      </c>
      <c r="G37" s="1" t="s">
        <v>10</v>
      </c>
      <c r="H37" s="23">
        <v>37.22</v>
      </c>
      <c r="I37" s="23">
        <v>930.5</v>
      </c>
      <c r="J37" s="2" t="str">
        <f t="shared" si="0"/>
        <v/>
      </c>
      <c r="K37" s="2" t="str">
        <f>IF(J37="","",I37-J37)</f>
        <v/>
      </c>
      <c r="L37" s="1" t="s">
        <v>73</v>
      </c>
      <c r="M37" s="12"/>
      <c r="N37" s="12"/>
      <c r="O37" s="12"/>
      <c r="P37" s="12"/>
      <c r="Q37" s="12"/>
      <c r="R37" s="12"/>
      <c r="S37" s="12"/>
      <c r="T37" s="12">
        <f>IF(M37="",0,INDEX(Sheet2!A$2:A$6,MATCH(M37,Sheet2!C$2:C$6,0)))</f>
        <v>0</v>
      </c>
      <c r="U37" s="12">
        <f>IF(N37="",0,INDEX(Sheet2!A$2:A$6,MATCH(N37,Sheet2!C$2:C$6,0)))</f>
        <v>0</v>
      </c>
      <c r="V37" s="12">
        <f>IF(O37="",0,INDEX(Sheet2!A$2:A$6,MATCH(O37,Sheet2!C$2:C$6,0)))</f>
        <v>0</v>
      </c>
      <c r="W37" s="12">
        <f>IF(P37="",0,INDEX(Sheet2!A$2:A$6,MATCH(P37,Sheet2!C$2:C$6,0)))</f>
        <v>0</v>
      </c>
      <c r="X37" s="12">
        <f>IF(Q37="",0,INDEX(Sheet2!A$2:A$6,MATCH(Q37,Sheet2!C$2:C$6,0)))</f>
        <v>0</v>
      </c>
      <c r="Y37" s="12">
        <f>IF(R37="",0,INDEX(Sheet2!A$2:A$6,MATCH(R37,Sheet2!C$2:C$6,0)))</f>
        <v>0</v>
      </c>
      <c r="Z37" s="12">
        <f t="shared" si="1"/>
        <v>0</v>
      </c>
      <c r="AA37" s="12" t="str">
        <f>IF(I37&gt;=7500,"E",IF(I37&gt;=6800,"D",IF(I37&gt;=4200,"C",IF(I37&gt;=3000,"B",IF(I37&gt;=750,"A","Below Slab")))))</f>
        <v>A</v>
      </c>
      <c r="AB37" s="19" t="str">
        <f>IF(I37&gt;=7500,"Samsung front-load washing machine",IF(I37&gt;=6800,"Apple iPad",IF(I37&gt;=4200,"Robot Vacuum cleaner",IF(I37&gt;=3000,"Sony - sound bar, woofer and speakers",IF(I37&gt;=750,"Foot massager","Not eligible")))))</f>
        <v>Foot massager</v>
      </c>
    </row>
    <row r="38" spans="1:28" customFormat="1">
      <c r="A38" s="1" t="s">
        <v>207</v>
      </c>
      <c r="B38" s="21" t="s">
        <v>208</v>
      </c>
      <c r="C38" s="21" t="s">
        <v>50</v>
      </c>
      <c r="D38" s="1" t="s">
        <v>24</v>
      </c>
      <c r="E38" s="1" t="s">
        <v>209</v>
      </c>
      <c r="F38" s="1" t="s">
        <v>115</v>
      </c>
      <c r="G38" s="1" t="s">
        <v>10</v>
      </c>
      <c r="H38" s="23">
        <v>172.42000000000002</v>
      </c>
      <c r="I38" s="23">
        <v>5603.6500000000005</v>
      </c>
      <c r="J38" s="2" t="str">
        <f t="shared" si="0"/>
        <v/>
      </c>
      <c r="K38" s="2" t="str">
        <f>IF(J38="","",I38-J38)</f>
        <v/>
      </c>
      <c r="L38" s="1" t="s">
        <v>77</v>
      </c>
      <c r="M38" s="12"/>
      <c r="N38" s="12"/>
      <c r="O38" s="12"/>
      <c r="P38" s="12"/>
      <c r="Q38" s="12"/>
      <c r="R38" s="12"/>
      <c r="S38" s="12"/>
      <c r="T38" s="12">
        <f>IF(M38="",0,INDEX(Sheet2!A$2:A$6,MATCH(M38,Sheet2!C$2:C$6,0)))</f>
        <v>0</v>
      </c>
      <c r="U38" s="12">
        <f>IF(N38="",0,INDEX(Sheet2!A$2:A$6,MATCH(N38,Sheet2!C$2:C$6,0)))</f>
        <v>0</v>
      </c>
      <c r="V38" s="12">
        <f>IF(O38="",0,INDEX(Sheet2!A$2:A$6,MATCH(O38,Sheet2!C$2:C$6,0)))</f>
        <v>0</v>
      </c>
      <c r="W38" s="12">
        <f>IF(P38="",0,INDEX(Sheet2!A$2:A$6,MATCH(P38,Sheet2!C$2:C$6,0)))</f>
        <v>0</v>
      </c>
      <c r="X38" s="12">
        <f>IF(Q38="",0,INDEX(Sheet2!A$2:A$6,MATCH(Q38,Sheet2!C$2:C$6,0)))</f>
        <v>0</v>
      </c>
      <c r="Y38" s="12">
        <f>IF(R38="",0,INDEX(Sheet2!A$2:A$6,MATCH(R38,Sheet2!C$2:C$6,0)))</f>
        <v>0</v>
      </c>
      <c r="Z38" s="12">
        <f t="shared" si="1"/>
        <v>0</v>
      </c>
      <c r="AA38" s="12" t="str">
        <f>IF(I38&gt;=7500,"E",IF(I38&gt;=6800,"D",IF(I38&gt;=4200,"C",IF(I38&gt;=3000,"B",IF(I38&gt;=750,"A","Below Slab")))))</f>
        <v>C</v>
      </c>
      <c r="AB38" s="19" t="str">
        <f>IF(I38&gt;=7500,"Samsung front-load washing machine",IF(I38&gt;=6800,"Apple iPad",IF(I38&gt;=4200,"Robot Vacuum cleaner",IF(I38&gt;=3000,"Sony - sound bar, woofer and speakers",IF(I38&gt;=750,"Foot massager","Not eligible")))))</f>
        <v>Robot Vacuum cleaner</v>
      </c>
    </row>
    <row r="39" spans="1:28" customFormat="1">
      <c r="A39" s="1" t="s">
        <v>210</v>
      </c>
      <c r="B39" s="21" t="s">
        <v>211</v>
      </c>
      <c r="C39" s="21" t="s">
        <v>50</v>
      </c>
      <c r="D39" s="1" t="s">
        <v>24</v>
      </c>
      <c r="E39" s="1" t="s">
        <v>200</v>
      </c>
      <c r="F39" s="1" t="s">
        <v>115</v>
      </c>
      <c r="G39" s="1" t="s">
        <v>10</v>
      </c>
      <c r="H39" s="23">
        <v>220.97</v>
      </c>
      <c r="I39" s="23">
        <v>8286.375</v>
      </c>
      <c r="J39" s="2" t="str">
        <f t="shared" si="0"/>
        <v/>
      </c>
      <c r="K39" s="2" t="str">
        <f>IF(J39="","",I39-J39)</f>
        <v/>
      </c>
      <c r="L39" s="1" t="s">
        <v>81</v>
      </c>
      <c r="M39" s="12"/>
      <c r="N39" s="12"/>
      <c r="O39" s="12"/>
      <c r="P39" s="12"/>
      <c r="Q39" s="12"/>
      <c r="R39" s="12"/>
      <c r="S39" s="12"/>
      <c r="T39" s="12">
        <f>IF(M39="",0,INDEX(Sheet2!A$2:A$6,MATCH(M39,Sheet2!C$2:C$6,0)))</f>
        <v>0</v>
      </c>
      <c r="U39" s="12">
        <f>IF(N39="",0,INDEX(Sheet2!A$2:A$6,MATCH(N39,Sheet2!C$2:C$6,0)))</f>
        <v>0</v>
      </c>
      <c r="V39" s="12">
        <f>IF(O39="",0,INDEX(Sheet2!A$2:A$6,MATCH(O39,Sheet2!C$2:C$6,0)))</f>
        <v>0</v>
      </c>
      <c r="W39" s="12">
        <f>IF(P39="",0,INDEX(Sheet2!A$2:A$6,MATCH(P39,Sheet2!C$2:C$6,0)))</f>
        <v>0</v>
      </c>
      <c r="X39" s="12">
        <f>IF(Q39="",0,INDEX(Sheet2!A$2:A$6,MATCH(Q39,Sheet2!C$2:C$6,0)))</f>
        <v>0</v>
      </c>
      <c r="Y39" s="12">
        <f>IF(R39="",0,INDEX(Sheet2!A$2:A$6,MATCH(R39,Sheet2!C$2:C$6,0)))</f>
        <v>0</v>
      </c>
      <c r="Z39" s="12">
        <f t="shared" si="1"/>
        <v>0</v>
      </c>
      <c r="AA39" s="12" t="str">
        <f>IF(I39&gt;=7500,"E",IF(I39&gt;=6800,"D",IF(I39&gt;=4200,"C",IF(I39&gt;=3000,"B",IF(I39&gt;=750,"A","Below Slab")))))</f>
        <v>E</v>
      </c>
      <c r="AB39" s="19" t="str">
        <f>IF(I39&gt;=7500,"Samsung front-load washing machine",IF(I39&gt;=6800,"Apple iPad",IF(I39&gt;=4200,"Robot Vacuum cleaner",IF(I39&gt;=3000,"Sony - sound bar, woofer and speakers",IF(I39&gt;=750,"Foot massager","Not eligible")))))</f>
        <v>Samsung front-load washing machine</v>
      </c>
    </row>
    <row r="40" spans="1:28" customFormat="1">
      <c r="A40" s="1" t="s">
        <v>212</v>
      </c>
      <c r="B40" s="21" t="s">
        <v>213</v>
      </c>
      <c r="C40" s="21" t="s">
        <v>50</v>
      </c>
      <c r="D40" s="1" t="s">
        <v>24</v>
      </c>
      <c r="E40" s="1" t="s">
        <v>200</v>
      </c>
      <c r="F40" s="1" t="s">
        <v>115</v>
      </c>
      <c r="G40" s="1" t="s">
        <v>10</v>
      </c>
      <c r="H40" s="23">
        <v>231.37</v>
      </c>
      <c r="I40" s="23">
        <v>8676.375</v>
      </c>
      <c r="J40" s="2" t="str">
        <f t="shared" si="0"/>
        <v/>
      </c>
      <c r="K40" s="2" t="str">
        <f>IF(J40="","",I40-J40)</f>
        <v/>
      </c>
      <c r="L40" s="1" t="s">
        <v>81</v>
      </c>
      <c r="M40" s="12"/>
      <c r="N40" s="12"/>
      <c r="O40" s="12"/>
      <c r="P40" s="12"/>
      <c r="Q40" s="12"/>
      <c r="R40" s="12"/>
      <c r="S40" s="12"/>
      <c r="T40" s="12">
        <f>IF(M40="",0,INDEX(Sheet2!A$2:A$6,MATCH(M40,Sheet2!C$2:C$6,0)))</f>
        <v>0</v>
      </c>
      <c r="U40" s="12">
        <f>IF(N40="",0,INDEX(Sheet2!A$2:A$6,MATCH(N40,Sheet2!C$2:C$6,0)))</f>
        <v>0</v>
      </c>
      <c r="V40" s="12">
        <f>IF(O40="",0,INDEX(Sheet2!A$2:A$6,MATCH(O40,Sheet2!C$2:C$6,0)))</f>
        <v>0</v>
      </c>
      <c r="W40" s="12">
        <f>IF(P40="",0,INDEX(Sheet2!A$2:A$6,MATCH(P40,Sheet2!C$2:C$6,0)))</f>
        <v>0</v>
      </c>
      <c r="X40" s="12">
        <f>IF(Q40="",0,INDEX(Sheet2!A$2:A$6,MATCH(Q40,Sheet2!C$2:C$6,0)))</f>
        <v>0</v>
      </c>
      <c r="Y40" s="12">
        <f>IF(R40="",0,INDEX(Sheet2!A$2:A$6,MATCH(R40,Sheet2!C$2:C$6,0)))</f>
        <v>0</v>
      </c>
      <c r="Z40" s="12">
        <f t="shared" si="1"/>
        <v>0</v>
      </c>
      <c r="AA40" s="12" t="str">
        <f>IF(I40&gt;=7500,"E",IF(I40&gt;=6800,"D",IF(I40&gt;=4200,"C",IF(I40&gt;=3000,"B",IF(I40&gt;=750,"A","Below Slab")))))</f>
        <v>E</v>
      </c>
      <c r="AB40" s="19" t="str">
        <f>IF(I40&gt;=7500,"Samsung front-load washing machine",IF(I40&gt;=6800,"Apple iPad",IF(I40&gt;=4200,"Robot Vacuum cleaner",IF(I40&gt;=3000,"Sony - sound bar, woofer and speakers",IF(I40&gt;=750,"Foot massager","Not eligible")))))</f>
        <v>Samsung front-load washing machine</v>
      </c>
    </row>
    <row r="41" spans="1:28" customFormat="1">
      <c r="A41" s="1" t="s">
        <v>214</v>
      </c>
      <c r="B41" s="21" t="s">
        <v>215</v>
      </c>
      <c r="C41" s="21" t="s">
        <v>55</v>
      </c>
      <c r="D41" s="1" t="s">
        <v>24</v>
      </c>
      <c r="E41" s="1" t="s">
        <v>216</v>
      </c>
      <c r="F41" s="1" t="s">
        <v>115</v>
      </c>
      <c r="G41" s="1" t="s">
        <v>10</v>
      </c>
      <c r="H41" s="23">
        <v>57.379999999999995</v>
      </c>
      <c r="I41" s="23">
        <v>1577.95</v>
      </c>
      <c r="J41" s="2" t="str">
        <f t="shared" si="0"/>
        <v/>
      </c>
      <c r="K41" s="2" t="str">
        <f>IF(J41="","",I41-J41)</f>
        <v/>
      </c>
      <c r="L41" s="1" t="s">
        <v>73</v>
      </c>
      <c r="M41" s="12"/>
      <c r="N41" s="12"/>
      <c r="O41" s="12"/>
      <c r="P41" s="12"/>
      <c r="Q41" s="12"/>
      <c r="R41" s="12"/>
      <c r="S41" s="12"/>
      <c r="T41" s="12">
        <f>IF(M41="",0,INDEX(Sheet2!A$2:A$6,MATCH(M41,Sheet2!C$2:C$6,0)))</f>
        <v>0</v>
      </c>
      <c r="U41" s="12">
        <f>IF(N41="",0,INDEX(Sheet2!A$2:A$6,MATCH(N41,Sheet2!C$2:C$6,0)))</f>
        <v>0</v>
      </c>
      <c r="V41" s="12">
        <f>IF(O41="",0,INDEX(Sheet2!A$2:A$6,MATCH(O41,Sheet2!C$2:C$6,0)))</f>
        <v>0</v>
      </c>
      <c r="W41" s="12">
        <f>IF(P41="",0,INDEX(Sheet2!A$2:A$6,MATCH(P41,Sheet2!C$2:C$6,0)))</f>
        <v>0</v>
      </c>
      <c r="X41" s="12">
        <f>IF(Q41="",0,INDEX(Sheet2!A$2:A$6,MATCH(Q41,Sheet2!C$2:C$6,0)))</f>
        <v>0</v>
      </c>
      <c r="Y41" s="12">
        <f>IF(R41="",0,INDEX(Sheet2!A$2:A$6,MATCH(R41,Sheet2!C$2:C$6,0)))</f>
        <v>0</v>
      </c>
      <c r="Z41" s="12">
        <f t="shared" si="1"/>
        <v>0</v>
      </c>
      <c r="AA41" s="12" t="str">
        <f>IF(I41&gt;=7500,"E",IF(I41&gt;=6800,"D",IF(I41&gt;=4200,"C",IF(I41&gt;=3000,"B",IF(I41&gt;=750,"A","Below Slab")))))</f>
        <v>A</v>
      </c>
      <c r="AB41" s="19" t="str">
        <f>IF(I41&gt;=7500,"Samsung front-load washing machine",IF(I41&gt;=6800,"Apple iPad",IF(I41&gt;=4200,"Robot Vacuum cleaner",IF(I41&gt;=3000,"Sony - sound bar, woofer and speakers",IF(I41&gt;=750,"Foot massager","Not eligible")))))</f>
        <v>Foot massager</v>
      </c>
    </row>
    <row r="42" spans="1:28" customFormat="1">
      <c r="A42" s="1" t="s">
        <v>217</v>
      </c>
      <c r="B42" s="21" t="s">
        <v>218</v>
      </c>
      <c r="C42" s="21" t="s">
        <v>55</v>
      </c>
      <c r="D42" s="1" t="s">
        <v>24</v>
      </c>
      <c r="E42" s="1" t="s">
        <v>219</v>
      </c>
      <c r="F42" s="1" t="s">
        <v>115</v>
      </c>
      <c r="G42" s="1" t="s">
        <v>10</v>
      </c>
      <c r="H42" s="23">
        <v>179.26</v>
      </c>
      <c r="I42" s="23">
        <v>5825.95</v>
      </c>
      <c r="J42" s="2" t="str">
        <f t="shared" si="0"/>
        <v/>
      </c>
      <c r="K42" s="2" t="str">
        <f>IF(J42="","",I42-J42)</f>
        <v/>
      </c>
      <c r="L42" s="1" t="s">
        <v>77</v>
      </c>
      <c r="M42" s="12"/>
      <c r="N42" s="12"/>
      <c r="O42" s="12"/>
      <c r="P42" s="12"/>
      <c r="Q42" s="12"/>
      <c r="R42" s="12"/>
      <c r="S42" s="12"/>
      <c r="T42" s="12">
        <f>IF(M42="",0,INDEX(Sheet2!A$2:A$6,MATCH(M42,Sheet2!C$2:C$6,0)))</f>
        <v>0</v>
      </c>
      <c r="U42" s="12">
        <f>IF(N42="",0,INDEX(Sheet2!A$2:A$6,MATCH(N42,Sheet2!C$2:C$6,0)))</f>
        <v>0</v>
      </c>
      <c r="V42" s="12">
        <f>IF(O42="",0,INDEX(Sheet2!A$2:A$6,MATCH(O42,Sheet2!C$2:C$6,0)))</f>
        <v>0</v>
      </c>
      <c r="W42" s="12">
        <f>IF(P42="",0,INDEX(Sheet2!A$2:A$6,MATCH(P42,Sheet2!C$2:C$6,0)))</f>
        <v>0</v>
      </c>
      <c r="X42" s="12">
        <f>IF(Q42="",0,INDEX(Sheet2!A$2:A$6,MATCH(Q42,Sheet2!C$2:C$6,0)))</f>
        <v>0</v>
      </c>
      <c r="Y42" s="12">
        <f>IF(R42="",0,INDEX(Sheet2!A$2:A$6,MATCH(R42,Sheet2!C$2:C$6,0)))</f>
        <v>0</v>
      </c>
      <c r="Z42" s="12">
        <f t="shared" si="1"/>
        <v>0</v>
      </c>
      <c r="AA42" s="12" t="str">
        <f>IF(I42&gt;=7500,"E",IF(I42&gt;=6800,"D",IF(I42&gt;=4200,"C",IF(I42&gt;=3000,"B",IF(I42&gt;=750,"A","Below Slab")))))</f>
        <v>C</v>
      </c>
      <c r="AB42" s="19" t="str">
        <f>IF(I42&gt;=7500,"Samsung front-load washing machine",IF(I42&gt;=6800,"Apple iPad",IF(I42&gt;=4200,"Robot Vacuum cleaner",IF(I42&gt;=3000,"Sony - sound bar, woofer and speakers",IF(I42&gt;=750,"Foot massager","Not eligible")))))</f>
        <v>Robot Vacuum cleaner</v>
      </c>
    </row>
    <row r="43" spans="1:28" customFormat="1">
      <c r="A43" s="1" t="s">
        <v>220</v>
      </c>
      <c r="B43" s="21" t="s">
        <v>221</v>
      </c>
      <c r="C43" s="21" t="s">
        <v>55</v>
      </c>
      <c r="D43" s="1" t="s">
        <v>24</v>
      </c>
      <c r="E43" s="1" t="s">
        <v>216</v>
      </c>
      <c r="F43" s="1" t="s">
        <v>115</v>
      </c>
      <c r="G43" s="1" t="s">
        <v>10</v>
      </c>
      <c r="H43" s="23">
        <v>49.53</v>
      </c>
      <c r="I43" s="23">
        <v>1238.25</v>
      </c>
      <c r="J43" s="2" t="str">
        <f t="shared" si="0"/>
        <v/>
      </c>
      <c r="K43" s="2" t="str">
        <f>IF(J43="","",I43-J43)</f>
        <v/>
      </c>
      <c r="L43" s="1" t="s">
        <v>73</v>
      </c>
      <c r="M43" s="12"/>
      <c r="N43" s="12"/>
      <c r="O43" s="12"/>
      <c r="P43" s="12"/>
      <c r="Q43" s="12"/>
      <c r="R43" s="12"/>
      <c r="S43" s="12"/>
      <c r="T43" s="12">
        <f>IF(M43="",0,INDEX(Sheet2!A$2:A$6,MATCH(M43,Sheet2!C$2:C$6,0)))</f>
        <v>0</v>
      </c>
      <c r="U43" s="12">
        <f>IF(N43="",0,INDEX(Sheet2!A$2:A$6,MATCH(N43,Sheet2!C$2:C$6,0)))</f>
        <v>0</v>
      </c>
      <c r="V43" s="12">
        <f>IF(O43="",0,INDEX(Sheet2!A$2:A$6,MATCH(O43,Sheet2!C$2:C$6,0)))</f>
        <v>0</v>
      </c>
      <c r="W43" s="12">
        <f>IF(P43="",0,INDEX(Sheet2!A$2:A$6,MATCH(P43,Sheet2!C$2:C$6,0)))</f>
        <v>0</v>
      </c>
      <c r="X43" s="12">
        <f>IF(Q43="",0,INDEX(Sheet2!A$2:A$6,MATCH(Q43,Sheet2!C$2:C$6,0)))</f>
        <v>0</v>
      </c>
      <c r="Y43" s="12">
        <f>IF(R43="",0,INDEX(Sheet2!A$2:A$6,MATCH(R43,Sheet2!C$2:C$6,0)))</f>
        <v>0</v>
      </c>
      <c r="Z43" s="12">
        <f t="shared" si="1"/>
        <v>0</v>
      </c>
      <c r="AA43" s="12" t="str">
        <f>IF(I43&gt;=7500,"E",IF(I43&gt;=6800,"D",IF(I43&gt;=4200,"C",IF(I43&gt;=3000,"B",IF(I43&gt;=750,"A","Below Slab")))))</f>
        <v>A</v>
      </c>
      <c r="AB43" s="19" t="str">
        <f>IF(I43&gt;=7500,"Samsung front-load washing machine",IF(I43&gt;=6800,"Apple iPad",IF(I43&gt;=4200,"Robot Vacuum cleaner",IF(I43&gt;=3000,"Sony - sound bar, woofer and speakers",IF(I43&gt;=750,"Foot massager","Not eligible")))))</f>
        <v>Foot massager</v>
      </c>
    </row>
    <row r="44" spans="1:28" customFormat="1">
      <c r="A44" s="1" t="s">
        <v>222</v>
      </c>
      <c r="B44" s="21" t="s">
        <v>223</v>
      </c>
      <c r="C44" s="21" t="s">
        <v>55</v>
      </c>
      <c r="D44" s="1" t="s">
        <v>24</v>
      </c>
      <c r="E44" s="1" t="s">
        <v>224</v>
      </c>
      <c r="F44" s="1" t="s">
        <v>115</v>
      </c>
      <c r="G44" s="1" t="s">
        <v>10</v>
      </c>
      <c r="H44" s="23">
        <v>70.2</v>
      </c>
      <c r="I44" s="23">
        <v>1930.5000000000002</v>
      </c>
      <c r="J44" s="2" t="str">
        <f t="shared" si="0"/>
        <v/>
      </c>
      <c r="K44" s="2" t="str">
        <f>IF(J44="","",I44-J44)</f>
        <v/>
      </c>
      <c r="L44" s="1" t="s">
        <v>73</v>
      </c>
      <c r="M44" s="12"/>
      <c r="N44" s="12"/>
      <c r="O44" s="12"/>
      <c r="P44" s="12"/>
      <c r="Q44" s="12"/>
      <c r="R44" s="12"/>
      <c r="S44" s="12"/>
      <c r="T44" s="12">
        <f>IF(M44="",0,INDEX(Sheet2!A$2:A$6,MATCH(M44,Sheet2!C$2:C$6,0)))</f>
        <v>0</v>
      </c>
      <c r="U44" s="12">
        <f>IF(N44="",0,INDEX(Sheet2!A$2:A$6,MATCH(N44,Sheet2!C$2:C$6,0)))</f>
        <v>0</v>
      </c>
      <c r="V44" s="12">
        <f>IF(O44="",0,INDEX(Sheet2!A$2:A$6,MATCH(O44,Sheet2!C$2:C$6,0)))</f>
        <v>0</v>
      </c>
      <c r="W44" s="12">
        <f>IF(P44="",0,INDEX(Sheet2!A$2:A$6,MATCH(P44,Sheet2!C$2:C$6,0)))</f>
        <v>0</v>
      </c>
      <c r="X44" s="12">
        <f>IF(Q44="",0,INDEX(Sheet2!A$2:A$6,MATCH(Q44,Sheet2!C$2:C$6,0)))</f>
        <v>0</v>
      </c>
      <c r="Y44" s="12">
        <f>IF(R44="",0,INDEX(Sheet2!A$2:A$6,MATCH(R44,Sheet2!C$2:C$6,0)))</f>
        <v>0</v>
      </c>
      <c r="Z44" s="12">
        <f t="shared" si="1"/>
        <v>0</v>
      </c>
      <c r="AA44" s="12" t="str">
        <f>IF(I44&gt;=7500,"E",IF(I44&gt;=6800,"D",IF(I44&gt;=4200,"C",IF(I44&gt;=3000,"B",IF(I44&gt;=750,"A","Below Slab")))))</f>
        <v>A</v>
      </c>
      <c r="AB44" s="19" t="str">
        <f>IF(I44&gt;=7500,"Samsung front-load washing machine",IF(I44&gt;=6800,"Apple iPad",IF(I44&gt;=4200,"Robot Vacuum cleaner",IF(I44&gt;=3000,"Sony - sound bar, woofer and speakers",IF(I44&gt;=750,"Foot massager","Not eligible")))))</f>
        <v>Foot massager</v>
      </c>
    </row>
    <row r="45" spans="1:28" customFormat="1">
      <c r="A45" s="1" t="s">
        <v>225</v>
      </c>
      <c r="B45" s="21" t="s">
        <v>226</v>
      </c>
      <c r="C45" s="21" t="s">
        <v>41</v>
      </c>
      <c r="D45" s="1">
        <v>0</v>
      </c>
      <c r="E45" s="1">
        <v>0</v>
      </c>
      <c r="F45" s="1" t="s">
        <v>115</v>
      </c>
      <c r="G45" s="1" t="s">
        <v>11</v>
      </c>
      <c r="H45" s="23">
        <v>50</v>
      </c>
      <c r="I45" s="23">
        <v>1375</v>
      </c>
      <c r="J45" s="2" t="str">
        <f t="shared" si="0"/>
        <v/>
      </c>
      <c r="K45" s="2" t="str">
        <f>IF(J45="","",I45-J45)</f>
        <v/>
      </c>
      <c r="L45" s="1" t="s">
        <v>73</v>
      </c>
      <c r="M45" s="12"/>
      <c r="N45" s="12"/>
      <c r="O45" s="12"/>
      <c r="P45" s="12"/>
      <c r="Q45" s="12"/>
      <c r="R45" s="12"/>
      <c r="S45" s="12"/>
      <c r="T45" s="12">
        <f>IF(M45="",0,INDEX(Sheet2!A$2:A$6,MATCH(M45,Sheet2!C$2:C$6,0)))</f>
        <v>0</v>
      </c>
      <c r="U45" s="12">
        <f>IF(N45="",0,INDEX(Sheet2!A$2:A$6,MATCH(N45,Sheet2!C$2:C$6,0)))</f>
        <v>0</v>
      </c>
      <c r="V45" s="12">
        <f>IF(O45="",0,INDEX(Sheet2!A$2:A$6,MATCH(O45,Sheet2!C$2:C$6,0)))</f>
        <v>0</v>
      </c>
      <c r="W45" s="12">
        <f>IF(P45="",0,INDEX(Sheet2!A$2:A$6,MATCH(P45,Sheet2!C$2:C$6,0)))</f>
        <v>0</v>
      </c>
      <c r="X45" s="12">
        <f>IF(Q45="",0,INDEX(Sheet2!A$2:A$6,MATCH(Q45,Sheet2!C$2:C$6,0)))</f>
        <v>0</v>
      </c>
      <c r="Y45" s="12">
        <f>IF(R45="",0,INDEX(Sheet2!A$2:A$6,MATCH(R45,Sheet2!C$2:C$6,0)))</f>
        <v>0</v>
      </c>
      <c r="Z45" s="12">
        <f t="shared" si="1"/>
        <v>0</v>
      </c>
      <c r="AA45" s="12" t="str">
        <f>IF(I45&gt;=7500,"E",IF(I45&gt;=6800,"D",IF(I45&gt;=4200,"C",IF(I45&gt;=3000,"B",IF(I45&gt;=750,"A","Below Slab")))))</f>
        <v>A</v>
      </c>
      <c r="AB45" s="19" t="str">
        <f>IF(I45&gt;=7500,"Samsung front-load washing machine",IF(I45&gt;=6800,"Apple iPad",IF(I45&gt;=4200,"Robot Vacuum cleaner",IF(I45&gt;=3000,"Sony - sound bar, woofer and speakers",IF(I45&gt;=750,"Foot massager","Not eligible")))))</f>
        <v>Foot massager</v>
      </c>
    </row>
    <row r="46" spans="1:28" customFormat="1">
      <c r="A46" s="1" t="s">
        <v>227</v>
      </c>
      <c r="B46" s="21" t="s">
        <v>228</v>
      </c>
      <c r="C46" s="21" t="s">
        <v>41</v>
      </c>
      <c r="D46" s="1" t="s">
        <v>15</v>
      </c>
      <c r="E46" s="1" t="s">
        <v>229</v>
      </c>
      <c r="F46" s="1" t="s">
        <v>115</v>
      </c>
      <c r="G46" s="1" t="s">
        <v>11</v>
      </c>
      <c r="H46" s="23">
        <v>36.900000000000006</v>
      </c>
      <c r="I46" s="23">
        <v>922.50000000000011</v>
      </c>
      <c r="J46" s="2" t="str">
        <f t="shared" si="0"/>
        <v/>
      </c>
      <c r="K46" s="2" t="str">
        <f>IF(J46="","",I46-J46)</f>
        <v/>
      </c>
      <c r="L46" s="1" t="s">
        <v>73</v>
      </c>
      <c r="M46" s="12"/>
      <c r="N46" s="12"/>
      <c r="O46" s="12"/>
      <c r="P46" s="12"/>
      <c r="Q46" s="12"/>
      <c r="R46" s="12"/>
      <c r="S46" s="12"/>
      <c r="T46" s="12">
        <f>IF(M46="",0,INDEX(Sheet2!A$2:A$6,MATCH(M46,Sheet2!C$2:C$6,0)))</f>
        <v>0</v>
      </c>
      <c r="U46" s="12">
        <f>IF(N46="",0,INDEX(Sheet2!A$2:A$6,MATCH(N46,Sheet2!C$2:C$6,0)))</f>
        <v>0</v>
      </c>
      <c r="V46" s="12">
        <f>IF(O46="",0,INDEX(Sheet2!A$2:A$6,MATCH(O46,Sheet2!C$2:C$6,0)))</f>
        <v>0</v>
      </c>
      <c r="W46" s="12">
        <f>IF(P46="",0,INDEX(Sheet2!A$2:A$6,MATCH(P46,Sheet2!C$2:C$6,0)))</f>
        <v>0</v>
      </c>
      <c r="X46" s="12">
        <f>IF(Q46="",0,INDEX(Sheet2!A$2:A$6,MATCH(Q46,Sheet2!C$2:C$6,0)))</f>
        <v>0</v>
      </c>
      <c r="Y46" s="12">
        <f>IF(R46="",0,INDEX(Sheet2!A$2:A$6,MATCH(R46,Sheet2!C$2:C$6,0)))</f>
        <v>0</v>
      </c>
      <c r="Z46" s="12">
        <f t="shared" si="1"/>
        <v>0</v>
      </c>
      <c r="AA46" s="12" t="str">
        <f>IF(I46&gt;=7500,"E",IF(I46&gt;=6800,"D",IF(I46&gt;=4200,"C",IF(I46&gt;=3000,"B",IF(I46&gt;=750,"A","Below Slab")))))</f>
        <v>A</v>
      </c>
      <c r="AB46" s="19" t="str">
        <f>IF(I46&gt;=7500,"Samsung front-load washing machine",IF(I46&gt;=6800,"Apple iPad",IF(I46&gt;=4200,"Robot Vacuum cleaner",IF(I46&gt;=3000,"Sony - sound bar, woofer and speakers",IF(I46&gt;=750,"Foot massager","Not eligible")))))</f>
        <v>Foot massager</v>
      </c>
    </row>
    <row r="47" spans="1:28" customFormat="1">
      <c r="A47" s="1" t="s">
        <v>230</v>
      </c>
      <c r="B47" s="21" t="s">
        <v>231</v>
      </c>
      <c r="C47" s="21" t="s">
        <v>41</v>
      </c>
      <c r="D47" s="1" t="s">
        <v>15</v>
      </c>
      <c r="E47" s="1" t="s">
        <v>232</v>
      </c>
      <c r="F47" s="1" t="s">
        <v>115</v>
      </c>
      <c r="G47" s="1" t="s">
        <v>11</v>
      </c>
      <c r="H47" s="23">
        <v>41.84</v>
      </c>
      <c r="I47" s="23">
        <v>1046</v>
      </c>
      <c r="J47" s="2" t="str">
        <f t="shared" si="0"/>
        <v/>
      </c>
      <c r="K47" s="2" t="str">
        <f>IF(J47="","",I47-J47)</f>
        <v/>
      </c>
      <c r="L47" s="1" t="s">
        <v>73</v>
      </c>
      <c r="M47" s="12"/>
      <c r="N47" s="12"/>
      <c r="O47" s="12"/>
      <c r="P47" s="12"/>
      <c r="Q47" s="12"/>
      <c r="R47" s="12"/>
      <c r="S47" s="12"/>
      <c r="T47" s="12">
        <f>IF(M47="",0,INDEX(Sheet2!A$2:A$6,MATCH(M47,Sheet2!C$2:C$6,0)))</f>
        <v>0</v>
      </c>
      <c r="U47" s="12">
        <f>IF(N47="",0,INDEX(Sheet2!A$2:A$6,MATCH(N47,Sheet2!C$2:C$6,0)))</f>
        <v>0</v>
      </c>
      <c r="V47" s="12">
        <f>IF(O47="",0,INDEX(Sheet2!A$2:A$6,MATCH(O47,Sheet2!C$2:C$6,0)))</f>
        <v>0</v>
      </c>
      <c r="W47" s="12">
        <f>IF(P47="",0,INDEX(Sheet2!A$2:A$6,MATCH(P47,Sheet2!C$2:C$6,0)))</f>
        <v>0</v>
      </c>
      <c r="X47" s="12">
        <f>IF(Q47="",0,INDEX(Sheet2!A$2:A$6,MATCH(Q47,Sheet2!C$2:C$6,0)))</f>
        <v>0</v>
      </c>
      <c r="Y47" s="12">
        <f>IF(R47="",0,INDEX(Sheet2!A$2:A$6,MATCH(R47,Sheet2!C$2:C$6,0)))</f>
        <v>0</v>
      </c>
      <c r="Z47" s="12">
        <f t="shared" si="1"/>
        <v>0</v>
      </c>
      <c r="AA47" s="12" t="str">
        <f>IF(I47&gt;=7500,"E",IF(I47&gt;=6800,"D",IF(I47&gt;=4200,"C",IF(I47&gt;=3000,"B",IF(I47&gt;=750,"A","Below Slab")))))</f>
        <v>A</v>
      </c>
      <c r="AB47" s="19" t="str">
        <f>IF(I47&gt;=7500,"Samsung front-load washing machine",IF(I47&gt;=6800,"Apple iPad",IF(I47&gt;=4200,"Robot Vacuum cleaner",IF(I47&gt;=3000,"Sony - sound bar, woofer and speakers",IF(I47&gt;=750,"Foot massager","Not eligible")))))</f>
        <v>Foot massager</v>
      </c>
    </row>
    <row r="48" spans="1:28" customFormat="1">
      <c r="A48" s="1" t="s">
        <v>233</v>
      </c>
      <c r="B48" s="21" t="s">
        <v>234</v>
      </c>
      <c r="C48" s="21" t="s">
        <v>41</v>
      </c>
      <c r="D48" s="1" t="s">
        <v>15</v>
      </c>
      <c r="E48" s="1" t="s">
        <v>235</v>
      </c>
      <c r="F48" s="1" t="s">
        <v>115</v>
      </c>
      <c r="G48" s="1" t="s">
        <v>11</v>
      </c>
      <c r="H48" s="23">
        <v>32.300000000000004</v>
      </c>
      <c r="I48" s="23">
        <v>807.50000000000011</v>
      </c>
      <c r="J48" s="2" t="str">
        <f t="shared" si="0"/>
        <v/>
      </c>
      <c r="K48" s="2" t="str">
        <f>IF(J48="","",I48-J48)</f>
        <v/>
      </c>
      <c r="L48" s="1" t="s">
        <v>73</v>
      </c>
      <c r="M48" s="12"/>
      <c r="N48" s="12"/>
      <c r="O48" s="12"/>
      <c r="P48" s="12"/>
      <c r="Q48" s="12"/>
      <c r="R48" s="12"/>
      <c r="S48" s="12"/>
      <c r="T48" s="12">
        <f>IF(M48="",0,INDEX(Sheet2!A$2:A$6,MATCH(M48,Sheet2!C$2:C$6,0)))</f>
        <v>0</v>
      </c>
      <c r="U48" s="12">
        <f>IF(N48="",0,INDEX(Sheet2!A$2:A$6,MATCH(N48,Sheet2!C$2:C$6,0)))</f>
        <v>0</v>
      </c>
      <c r="V48" s="12">
        <f>IF(O48="",0,INDEX(Sheet2!A$2:A$6,MATCH(O48,Sheet2!C$2:C$6,0)))</f>
        <v>0</v>
      </c>
      <c r="W48" s="12">
        <f>IF(P48="",0,INDEX(Sheet2!A$2:A$6,MATCH(P48,Sheet2!C$2:C$6,0)))</f>
        <v>0</v>
      </c>
      <c r="X48" s="12">
        <f>IF(Q48="",0,INDEX(Sheet2!A$2:A$6,MATCH(Q48,Sheet2!C$2:C$6,0)))</f>
        <v>0</v>
      </c>
      <c r="Y48" s="12">
        <f>IF(R48="",0,INDEX(Sheet2!A$2:A$6,MATCH(R48,Sheet2!C$2:C$6,0)))</f>
        <v>0</v>
      </c>
      <c r="Z48" s="12">
        <f t="shared" si="1"/>
        <v>0</v>
      </c>
      <c r="AA48" s="12" t="str">
        <f>IF(I48&gt;=7500,"E",IF(I48&gt;=6800,"D",IF(I48&gt;=4200,"C",IF(I48&gt;=3000,"B",IF(I48&gt;=750,"A","Below Slab")))))</f>
        <v>A</v>
      </c>
      <c r="AB48" s="19" t="str">
        <f>IF(I48&gt;=7500,"Samsung front-load washing machine",IF(I48&gt;=6800,"Apple iPad",IF(I48&gt;=4200,"Robot Vacuum cleaner",IF(I48&gt;=3000,"Sony - sound bar, woofer and speakers",IF(I48&gt;=750,"Foot massager","Not eligible")))))</f>
        <v>Foot massager</v>
      </c>
    </row>
    <row r="49" spans="1:28" customFormat="1">
      <c r="A49" s="1" t="s">
        <v>236</v>
      </c>
      <c r="B49" s="21" t="s">
        <v>237</v>
      </c>
      <c r="C49" s="21" t="s">
        <v>41</v>
      </c>
      <c r="D49" s="1" t="s">
        <v>15</v>
      </c>
      <c r="E49" s="1" t="s">
        <v>238</v>
      </c>
      <c r="F49" s="1" t="s">
        <v>115</v>
      </c>
      <c r="G49" s="1" t="s">
        <v>11</v>
      </c>
      <c r="H49" s="23">
        <v>67</v>
      </c>
      <c r="I49" s="23">
        <v>1842.5000000000002</v>
      </c>
      <c r="J49" s="2" t="str">
        <f t="shared" si="0"/>
        <v/>
      </c>
      <c r="K49" s="2" t="str">
        <f>IF(J49="","",I49-J49)</f>
        <v/>
      </c>
      <c r="L49" s="1" t="s">
        <v>73</v>
      </c>
      <c r="M49" s="12"/>
      <c r="N49" s="12"/>
      <c r="O49" s="12"/>
      <c r="P49" s="12"/>
      <c r="Q49" s="12"/>
      <c r="R49" s="12"/>
      <c r="S49" s="12"/>
      <c r="T49" s="12">
        <f>IF(M49="",0,INDEX(Sheet2!A$2:A$6,MATCH(M49,Sheet2!C$2:C$6,0)))</f>
        <v>0</v>
      </c>
      <c r="U49" s="12">
        <f>IF(N49="",0,INDEX(Sheet2!A$2:A$6,MATCH(N49,Sheet2!C$2:C$6,0)))</f>
        <v>0</v>
      </c>
      <c r="V49" s="12">
        <f>IF(O49="",0,INDEX(Sheet2!A$2:A$6,MATCH(O49,Sheet2!C$2:C$6,0)))</f>
        <v>0</v>
      </c>
      <c r="W49" s="12">
        <f>IF(P49="",0,INDEX(Sheet2!A$2:A$6,MATCH(P49,Sheet2!C$2:C$6,0)))</f>
        <v>0</v>
      </c>
      <c r="X49" s="12">
        <f>IF(Q49="",0,INDEX(Sheet2!A$2:A$6,MATCH(Q49,Sheet2!C$2:C$6,0)))</f>
        <v>0</v>
      </c>
      <c r="Y49" s="12">
        <f>IF(R49="",0,INDEX(Sheet2!A$2:A$6,MATCH(R49,Sheet2!C$2:C$6,0)))</f>
        <v>0</v>
      </c>
      <c r="Z49" s="12">
        <f t="shared" si="1"/>
        <v>0</v>
      </c>
      <c r="AA49" s="12" t="str">
        <f>IF(I49&gt;=7500,"E",IF(I49&gt;=6800,"D",IF(I49&gt;=4200,"C",IF(I49&gt;=3000,"B",IF(I49&gt;=750,"A","Below Slab")))))</f>
        <v>A</v>
      </c>
      <c r="AB49" s="19" t="str">
        <f>IF(I49&gt;=7500,"Samsung front-load washing machine",IF(I49&gt;=6800,"Apple iPad",IF(I49&gt;=4200,"Robot Vacuum cleaner",IF(I49&gt;=3000,"Sony - sound bar, woofer and speakers",IF(I49&gt;=750,"Foot massager","Not eligible")))))</f>
        <v>Foot massager</v>
      </c>
    </row>
    <row r="50" spans="1:28" customFormat="1">
      <c r="A50" s="1" t="s">
        <v>239</v>
      </c>
      <c r="B50" s="21" t="s">
        <v>240</v>
      </c>
      <c r="C50" s="21" t="s">
        <v>41</v>
      </c>
      <c r="D50" s="1" t="s">
        <v>15</v>
      </c>
      <c r="E50" s="1" t="s">
        <v>241</v>
      </c>
      <c r="F50" s="1" t="s">
        <v>115</v>
      </c>
      <c r="G50" s="1" t="s">
        <v>11</v>
      </c>
      <c r="H50" s="23">
        <v>36</v>
      </c>
      <c r="I50" s="23">
        <v>900</v>
      </c>
      <c r="J50" s="2" t="str">
        <f t="shared" si="0"/>
        <v/>
      </c>
      <c r="K50" s="2" t="str">
        <f>IF(J50="","",I50-J50)</f>
        <v/>
      </c>
      <c r="L50" s="1" t="s">
        <v>73</v>
      </c>
      <c r="M50" s="12"/>
      <c r="N50" s="12"/>
      <c r="O50" s="12"/>
      <c r="P50" s="12"/>
      <c r="Q50" s="12"/>
      <c r="R50" s="12"/>
      <c r="S50" s="12"/>
      <c r="T50" s="12">
        <f>IF(M50="",0,INDEX(Sheet2!A$2:A$6,MATCH(M50,Sheet2!C$2:C$6,0)))</f>
        <v>0</v>
      </c>
      <c r="U50" s="12">
        <f>IF(N50="",0,INDEX(Sheet2!A$2:A$6,MATCH(N50,Sheet2!C$2:C$6,0)))</f>
        <v>0</v>
      </c>
      <c r="V50" s="12">
        <f>IF(O50="",0,INDEX(Sheet2!A$2:A$6,MATCH(O50,Sheet2!C$2:C$6,0)))</f>
        <v>0</v>
      </c>
      <c r="W50" s="12">
        <f>IF(P50="",0,INDEX(Sheet2!A$2:A$6,MATCH(P50,Sheet2!C$2:C$6,0)))</f>
        <v>0</v>
      </c>
      <c r="X50" s="12">
        <f>IF(Q50="",0,INDEX(Sheet2!A$2:A$6,MATCH(Q50,Sheet2!C$2:C$6,0)))</f>
        <v>0</v>
      </c>
      <c r="Y50" s="12">
        <f>IF(R50="",0,INDEX(Sheet2!A$2:A$6,MATCH(R50,Sheet2!C$2:C$6,0)))</f>
        <v>0</v>
      </c>
      <c r="Z50" s="12">
        <f t="shared" si="1"/>
        <v>0</v>
      </c>
      <c r="AA50" s="12" t="str">
        <f>IF(I50&gt;=7500,"E",IF(I50&gt;=6800,"D",IF(I50&gt;=4200,"C",IF(I50&gt;=3000,"B",IF(I50&gt;=750,"A","Below Slab")))))</f>
        <v>A</v>
      </c>
      <c r="AB50" s="19" t="str">
        <f>IF(I50&gt;=7500,"Samsung front-load washing machine",IF(I50&gt;=6800,"Apple iPad",IF(I50&gt;=4200,"Robot Vacuum cleaner",IF(I50&gt;=3000,"Sony - sound bar, woofer and speakers",IF(I50&gt;=750,"Foot massager","Not eligible")))))</f>
        <v>Foot massager</v>
      </c>
    </row>
    <row r="51" spans="1:28" customFormat="1">
      <c r="A51" s="1" t="s">
        <v>242</v>
      </c>
      <c r="B51" s="21" t="s">
        <v>243</v>
      </c>
      <c r="C51" s="21" t="s">
        <v>41</v>
      </c>
      <c r="D51" s="1" t="s">
        <v>15</v>
      </c>
      <c r="E51" s="1" t="s">
        <v>232</v>
      </c>
      <c r="F51" s="1" t="s">
        <v>115</v>
      </c>
      <c r="G51" s="1" t="s">
        <v>11</v>
      </c>
      <c r="H51" s="23">
        <v>42</v>
      </c>
      <c r="I51" s="23">
        <v>1050</v>
      </c>
      <c r="J51" s="2" t="str">
        <f t="shared" si="0"/>
        <v/>
      </c>
      <c r="K51" s="2" t="str">
        <f>IF(J51="","",I51-J51)</f>
        <v/>
      </c>
      <c r="L51" s="1" t="s">
        <v>73</v>
      </c>
      <c r="M51" s="12"/>
      <c r="N51" s="12"/>
      <c r="O51" s="12"/>
      <c r="P51" s="12"/>
      <c r="Q51" s="12"/>
      <c r="R51" s="12"/>
      <c r="S51" s="12"/>
      <c r="T51" s="12">
        <f>IF(M51="",0,INDEX(Sheet2!A$2:A$6,MATCH(M51,Sheet2!C$2:C$6,0)))</f>
        <v>0</v>
      </c>
      <c r="U51" s="12">
        <f>IF(N51="",0,INDEX(Sheet2!A$2:A$6,MATCH(N51,Sheet2!C$2:C$6,0)))</f>
        <v>0</v>
      </c>
      <c r="V51" s="12">
        <f>IF(O51="",0,INDEX(Sheet2!A$2:A$6,MATCH(O51,Sheet2!C$2:C$6,0)))</f>
        <v>0</v>
      </c>
      <c r="W51" s="12">
        <f>IF(P51="",0,INDEX(Sheet2!A$2:A$6,MATCH(P51,Sheet2!C$2:C$6,0)))</f>
        <v>0</v>
      </c>
      <c r="X51" s="12">
        <f>IF(Q51="",0,INDEX(Sheet2!A$2:A$6,MATCH(Q51,Sheet2!C$2:C$6,0)))</f>
        <v>0</v>
      </c>
      <c r="Y51" s="12">
        <f>IF(R51="",0,INDEX(Sheet2!A$2:A$6,MATCH(R51,Sheet2!C$2:C$6,0)))</f>
        <v>0</v>
      </c>
      <c r="Z51" s="12">
        <f t="shared" si="1"/>
        <v>0</v>
      </c>
      <c r="AA51" s="12" t="str">
        <f>IF(I51&gt;=7500,"E",IF(I51&gt;=6800,"D",IF(I51&gt;=4200,"C",IF(I51&gt;=3000,"B",IF(I51&gt;=750,"A","Below Slab")))))</f>
        <v>A</v>
      </c>
      <c r="AB51" s="19" t="str">
        <f>IF(I51&gt;=7500,"Samsung front-load washing machine",IF(I51&gt;=6800,"Apple iPad",IF(I51&gt;=4200,"Robot Vacuum cleaner",IF(I51&gt;=3000,"Sony - sound bar, woofer and speakers",IF(I51&gt;=750,"Foot massager","Not eligible")))))</f>
        <v>Foot massager</v>
      </c>
    </row>
    <row r="52" spans="1:28" customFormat="1">
      <c r="A52" s="1" t="s">
        <v>244</v>
      </c>
      <c r="B52" s="21" t="s">
        <v>245</v>
      </c>
      <c r="C52" s="21" t="s">
        <v>62</v>
      </c>
      <c r="D52" s="1" t="s">
        <v>15</v>
      </c>
      <c r="E52" s="1" t="s">
        <v>246</v>
      </c>
      <c r="F52" s="1" t="s">
        <v>115</v>
      </c>
      <c r="G52" s="1" t="s">
        <v>11</v>
      </c>
      <c r="H52" s="23">
        <v>31.080000000000002</v>
      </c>
      <c r="I52" s="23">
        <v>777</v>
      </c>
      <c r="J52" s="2" t="str">
        <f t="shared" si="0"/>
        <v/>
      </c>
      <c r="K52" s="2" t="str">
        <f>IF(J52="","",I52-J52)</f>
        <v/>
      </c>
      <c r="L52" s="1" t="s">
        <v>73</v>
      </c>
      <c r="M52" s="12"/>
      <c r="N52" s="12"/>
      <c r="O52" s="12"/>
      <c r="P52" s="12"/>
      <c r="Q52" s="12"/>
      <c r="R52" s="12"/>
      <c r="S52" s="12"/>
      <c r="T52" s="12">
        <f>IF(M52="",0,INDEX(Sheet2!A$2:A$6,MATCH(M52,Sheet2!C$2:C$6,0)))</f>
        <v>0</v>
      </c>
      <c r="U52" s="12">
        <f>IF(N52="",0,INDEX(Sheet2!A$2:A$6,MATCH(N52,Sheet2!C$2:C$6,0)))</f>
        <v>0</v>
      </c>
      <c r="V52" s="12">
        <f>IF(O52="",0,INDEX(Sheet2!A$2:A$6,MATCH(O52,Sheet2!C$2:C$6,0)))</f>
        <v>0</v>
      </c>
      <c r="W52" s="12">
        <f>IF(P52="",0,INDEX(Sheet2!A$2:A$6,MATCH(P52,Sheet2!C$2:C$6,0)))</f>
        <v>0</v>
      </c>
      <c r="X52" s="12">
        <f>IF(Q52="",0,INDEX(Sheet2!A$2:A$6,MATCH(Q52,Sheet2!C$2:C$6,0)))</f>
        <v>0</v>
      </c>
      <c r="Y52" s="12">
        <f>IF(R52="",0,INDEX(Sheet2!A$2:A$6,MATCH(R52,Sheet2!C$2:C$6,0)))</f>
        <v>0</v>
      </c>
      <c r="Z52" s="12">
        <f t="shared" si="1"/>
        <v>0</v>
      </c>
      <c r="AA52" s="12" t="str">
        <f>IF(I52&gt;=7500,"E",IF(I52&gt;=6800,"D",IF(I52&gt;=4200,"C",IF(I52&gt;=3000,"B",IF(I52&gt;=750,"A","Below Slab")))))</f>
        <v>A</v>
      </c>
      <c r="AB52" s="19" t="str">
        <f>IF(I52&gt;=7500,"Samsung front-load washing machine",IF(I52&gt;=6800,"Apple iPad",IF(I52&gt;=4200,"Robot Vacuum cleaner",IF(I52&gt;=3000,"Sony - sound bar, woofer and speakers",IF(I52&gt;=750,"Foot massager","Not eligible")))))</f>
        <v>Foot massager</v>
      </c>
    </row>
    <row r="53" spans="1:28" customFormat="1">
      <c r="A53" s="1" t="s">
        <v>247</v>
      </c>
      <c r="B53" s="21" t="s">
        <v>248</v>
      </c>
      <c r="C53" s="21" t="s">
        <v>44</v>
      </c>
      <c r="D53" s="1" t="s">
        <v>21</v>
      </c>
      <c r="E53" s="1" t="s">
        <v>249</v>
      </c>
      <c r="F53" s="1" t="s">
        <v>115</v>
      </c>
      <c r="G53" s="1" t="s">
        <v>11</v>
      </c>
      <c r="H53" s="23">
        <v>31.61</v>
      </c>
      <c r="I53" s="23">
        <v>790.25</v>
      </c>
      <c r="J53" s="2" t="str">
        <f t="shared" si="0"/>
        <v/>
      </c>
      <c r="K53" s="2" t="str">
        <f>IF(J53="","",I53-J53)</f>
        <v/>
      </c>
      <c r="L53" s="1" t="s">
        <v>73</v>
      </c>
      <c r="M53" s="12"/>
      <c r="N53" s="12"/>
      <c r="O53" s="12"/>
      <c r="P53" s="12"/>
      <c r="Q53" s="12"/>
      <c r="R53" s="12"/>
      <c r="S53" s="12"/>
      <c r="T53" s="12">
        <f>IF(M53="",0,INDEX(Sheet2!A$2:A$6,MATCH(M53,Sheet2!C$2:C$6,0)))</f>
        <v>0</v>
      </c>
      <c r="U53" s="12">
        <f>IF(N53="",0,INDEX(Sheet2!A$2:A$6,MATCH(N53,Sheet2!C$2:C$6,0)))</f>
        <v>0</v>
      </c>
      <c r="V53" s="12">
        <f>IF(O53="",0,INDEX(Sheet2!A$2:A$6,MATCH(O53,Sheet2!C$2:C$6,0)))</f>
        <v>0</v>
      </c>
      <c r="W53" s="12">
        <f>IF(P53="",0,INDEX(Sheet2!A$2:A$6,MATCH(P53,Sheet2!C$2:C$6,0)))</f>
        <v>0</v>
      </c>
      <c r="X53" s="12">
        <f>IF(Q53="",0,INDEX(Sheet2!A$2:A$6,MATCH(Q53,Sheet2!C$2:C$6,0)))</f>
        <v>0</v>
      </c>
      <c r="Y53" s="12">
        <f>IF(R53="",0,INDEX(Sheet2!A$2:A$6,MATCH(R53,Sheet2!C$2:C$6,0)))</f>
        <v>0</v>
      </c>
      <c r="Z53" s="12">
        <f t="shared" si="1"/>
        <v>0</v>
      </c>
      <c r="AA53" s="12" t="str">
        <f>IF(I53&gt;=7500,"E",IF(I53&gt;=6800,"D",IF(I53&gt;=4200,"C",IF(I53&gt;=3000,"B",IF(I53&gt;=750,"A","Below Slab")))))</f>
        <v>A</v>
      </c>
      <c r="AB53" s="19" t="str">
        <f>IF(I53&gt;=7500,"Samsung front-load washing machine",IF(I53&gt;=6800,"Apple iPad",IF(I53&gt;=4200,"Robot Vacuum cleaner",IF(I53&gt;=3000,"Sony - sound bar, woofer and speakers",IF(I53&gt;=750,"Foot massager","Not eligible")))))</f>
        <v>Foot massager</v>
      </c>
    </row>
    <row r="54" spans="1:28" customFormat="1">
      <c r="A54" s="1" t="s">
        <v>250</v>
      </c>
      <c r="B54" s="21" t="s">
        <v>251</v>
      </c>
      <c r="C54" s="21" t="s">
        <v>44</v>
      </c>
      <c r="D54" s="1" t="s">
        <v>21</v>
      </c>
      <c r="E54" s="1" t="s">
        <v>249</v>
      </c>
      <c r="F54" s="1" t="s">
        <v>115</v>
      </c>
      <c r="G54" s="1" t="s">
        <v>11</v>
      </c>
      <c r="H54" s="23">
        <v>32.040000000000006</v>
      </c>
      <c r="I54" s="23">
        <v>801.00000000000011</v>
      </c>
      <c r="J54" s="2" t="str">
        <f t="shared" si="0"/>
        <v/>
      </c>
      <c r="K54" s="2" t="str">
        <f>IF(J54="","",I54-J54)</f>
        <v/>
      </c>
      <c r="L54" s="1" t="s">
        <v>73</v>
      </c>
      <c r="M54" s="12"/>
      <c r="N54" s="12"/>
      <c r="O54" s="12"/>
      <c r="P54" s="12"/>
      <c r="Q54" s="12"/>
      <c r="R54" s="12"/>
      <c r="S54" s="12"/>
      <c r="T54" s="12">
        <f>IF(M54="",0,INDEX(Sheet2!A$2:A$6,MATCH(M54,Sheet2!C$2:C$6,0)))</f>
        <v>0</v>
      </c>
      <c r="U54" s="12">
        <f>IF(N54="",0,INDEX(Sheet2!A$2:A$6,MATCH(N54,Sheet2!C$2:C$6,0)))</f>
        <v>0</v>
      </c>
      <c r="V54" s="12">
        <f>IF(O54="",0,INDEX(Sheet2!A$2:A$6,MATCH(O54,Sheet2!C$2:C$6,0)))</f>
        <v>0</v>
      </c>
      <c r="W54" s="12">
        <f>IF(P54="",0,INDEX(Sheet2!A$2:A$6,MATCH(P54,Sheet2!C$2:C$6,0)))</f>
        <v>0</v>
      </c>
      <c r="X54" s="12">
        <f>IF(Q54="",0,INDEX(Sheet2!A$2:A$6,MATCH(Q54,Sheet2!C$2:C$6,0)))</f>
        <v>0</v>
      </c>
      <c r="Y54" s="12">
        <f>IF(R54="",0,INDEX(Sheet2!A$2:A$6,MATCH(R54,Sheet2!C$2:C$6,0)))</f>
        <v>0</v>
      </c>
      <c r="Z54" s="12">
        <f t="shared" si="1"/>
        <v>0</v>
      </c>
      <c r="AA54" s="12" t="str">
        <f>IF(I54&gt;=7500,"E",IF(I54&gt;=6800,"D",IF(I54&gt;=4200,"C",IF(I54&gt;=3000,"B",IF(I54&gt;=750,"A","Below Slab")))))</f>
        <v>A</v>
      </c>
      <c r="AB54" s="19" t="str">
        <f>IF(I54&gt;=7500,"Samsung front-load washing machine",IF(I54&gt;=6800,"Apple iPad",IF(I54&gt;=4200,"Robot Vacuum cleaner",IF(I54&gt;=3000,"Sony - sound bar, woofer and speakers",IF(I54&gt;=750,"Foot massager","Not eligible")))))</f>
        <v>Foot massager</v>
      </c>
    </row>
    <row r="55" spans="1:28" customFormat="1">
      <c r="A55" s="1" t="s">
        <v>252</v>
      </c>
      <c r="B55" s="21" t="s">
        <v>253</v>
      </c>
      <c r="C55" s="21" t="s">
        <v>65</v>
      </c>
      <c r="D55" s="1" t="s">
        <v>21</v>
      </c>
      <c r="E55" s="1" t="s">
        <v>254</v>
      </c>
      <c r="F55" s="1" t="s">
        <v>115</v>
      </c>
      <c r="G55" s="1" t="s">
        <v>11</v>
      </c>
      <c r="H55" s="23">
        <v>33.06</v>
      </c>
      <c r="I55" s="23">
        <v>826.5</v>
      </c>
      <c r="J55" s="2" t="str">
        <f t="shared" si="0"/>
        <v/>
      </c>
      <c r="K55" s="2" t="str">
        <f>IF(J55="","",I55-J55)</f>
        <v/>
      </c>
      <c r="L55" s="1" t="s">
        <v>73</v>
      </c>
      <c r="M55" s="12"/>
      <c r="N55" s="12"/>
      <c r="O55" s="12"/>
      <c r="P55" s="12"/>
      <c r="Q55" s="12"/>
      <c r="R55" s="12"/>
      <c r="S55" s="12"/>
      <c r="T55" s="12">
        <f>IF(M55="",0,INDEX(Sheet2!A$2:A$6,MATCH(M55,Sheet2!C$2:C$6,0)))</f>
        <v>0</v>
      </c>
      <c r="U55" s="12">
        <f>IF(N55="",0,INDEX(Sheet2!A$2:A$6,MATCH(N55,Sheet2!C$2:C$6,0)))</f>
        <v>0</v>
      </c>
      <c r="V55" s="12">
        <f>IF(O55="",0,INDEX(Sheet2!A$2:A$6,MATCH(O55,Sheet2!C$2:C$6,0)))</f>
        <v>0</v>
      </c>
      <c r="W55" s="12">
        <f>IF(P55="",0,INDEX(Sheet2!A$2:A$6,MATCH(P55,Sheet2!C$2:C$6,0)))</f>
        <v>0</v>
      </c>
      <c r="X55" s="12">
        <f>IF(Q55="",0,INDEX(Sheet2!A$2:A$6,MATCH(Q55,Sheet2!C$2:C$6,0)))</f>
        <v>0</v>
      </c>
      <c r="Y55" s="12">
        <f>IF(R55="",0,INDEX(Sheet2!A$2:A$6,MATCH(R55,Sheet2!C$2:C$6,0)))</f>
        <v>0</v>
      </c>
      <c r="Z55" s="12">
        <f t="shared" si="1"/>
        <v>0</v>
      </c>
      <c r="AA55" s="12" t="str">
        <f>IF(I55&gt;=7500,"E",IF(I55&gt;=6800,"D",IF(I55&gt;=4200,"C",IF(I55&gt;=3000,"B",IF(I55&gt;=750,"A","Below Slab")))))</f>
        <v>A</v>
      </c>
      <c r="AB55" s="19" t="str">
        <f>IF(I55&gt;=7500,"Samsung front-load washing machine",IF(I55&gt;=6800,"Apple iPad",IF(I55&gt;=4200,"Robot Vacuum cleaner",IF(I55&gt;=3000,"Sony - sound bar, woofer and speakers",IF(I55&gt;=750,"Foot massager","Not eligible")))))</f>
        <v>Foot massager</v>
      </c>
    </row>
    <row r="56" spans="1:28" customFormat="1">
      <c r="A56" s="1" t="s">
        <v>255</v>
      </c>
      <c r="B56" s="21" t="s">
        <v>256</v>
      </c>
      <c r="C56" s="21" t="s">
        <v>33</v>
      </c>
      <c r="D56" s="1" t="s">
        <v>29</v>
      </c>
      <c r="E56" s="1" t="s">
        <v>257</v>
      </c>
      <c r="F56" s="1" t="s">
        <v>115</v>
      </c>
      <c r="G56" s="1" t="s">
        <v>11</v>
      </c>
      <c r="H56" s="23">
        <v>35</v>
      </c>
      <c r="I56" s="23">
        <v>875</v>
      </c>
      <c r="J56" s="2" t="str">
        <f t="shared" si="0"/>
        <v/>
      </c>
      <c r="K56" s="2" t="str">
        <f>IF(J56="","",I56-J56)</f>
        <v/>
      </c>
      <c r="L56" s="1" t="s">
        <v>73</v>
      </c>
      <c r="M56" s="12"/>
      <c r="N56" s="12"/>
      <c r="O56" s="12"/>
      <c r="P56" s="12"/>
      <c r="Q56" s="12"/>
      <c r="R56" s="12"/>
      <c r="S56" s="12"/>
      <c r="T56" s="12">
        <f>IF(M56="",0,INDEX(Sheet2!A$2:A$6,MATCH(M56,Sheet2!C$2:C$6,0)))</f>
        <v>0</v>
      </c>
      <c r="U56" s="12">
        <f>IF(N56="",0,INDEX(Sheet2!A$2:A$6,MATCH(N56,Sheet2!C$2:C$6,0)))</f>
        <v>0</v>
      </c>
      <c r="V56" s="12">
        <f>IF(O56="",0,INDEX(Sheet2!A$2:A$6,MATCH(O56,Sheet2!C$2:C$6,0)))</f>
        <v>0</v>
      </c>
      <c r="W56" s="12">
        <f>IF(P56="",0,INDEX(Sheet2!A$2:A$6,MATCH(P56,Sheet2!C$2:C$6,0)))</f>
        <v>0</v>
      </c>
      <c r="X56" s="12">
        <f>IF(Q56="",0,INDEX(Sheet2!A$2:A$6,MATCH(Q56,Sheet2!C$2:C$6,0)))</f>
        <v>0</v>
      </c>
      <c r="Y56" s="12">
        <f>IF(R56="",0,INDEX(Sheet2!A$2:A$6,MATCH(R56,Sheet2!C$2:C$6,0)))</f>
        <v>0</v>
      </c>
      <c r="Z56" s="12">
        <f t="shared" si="1"/>
        <v>0</v>
      </c>
      <c r="AA56" s="12" t="str">
        <f>IF(I56&gt;=7500,"E",IF(I56&gt;=6800,"D",IF(I56&gt;=4200,"C",IF(I56&gt;=3000,"B",IF(I56&gt;=750,"A","Below Slab")))))</f>
        <v>A</v>
      </c>
      <c r="AB56" s="19" t="str">
        <f>IF(I56&gt;=7500,"Samsung front-load washing machine",IF(I56&gt;=6800,"Apple iPad",IF(I56&gt;=4200,"Robot Vacuum cleaner",IF(I56&gt;=3000,"Sony - sound bar, woofer and speakers",IF(I56&gt;=750,"Foot massager","Not eligible")))))</f>
        <v>Foot massager</v>
      </c>
    </row>
    <row r="57" spans="1:28" customFormat="1">
      <c r="A57" s="1" t="s">
        <v>258</v>
      </c>
      <c r="B57" s="21" t="s">
        <v>259</v>
      </c>
      <c r="C57" s="21" t="s">
        <v>40</v>
      </c>
      <c r="D57" s="1" t="s">
        <v>29</v>
      </c>
      <c r="E57" s="1" t="s">
        <v>260</v>
      </c>
      <c r="F57" s="1" t="s">
        <v>115</v>
      </c>
      <c r="G57" s="1" t="s">
        <v>11</v>
      </c>
      <c r="H57" s="23">
        <v>57.94</v>
      </c>
      <c r="I57" s="23">
        <v>1593.3500000000001</v>
      </c>
      <c r="J57" s="2" t="str">
        <f t="shared" si="0"/>
        <v/>
      </c>
      <c r="K57" s="2" t="str">
        <f>IF(J57="","",I57-J57)</f>
        <v/>
      </c>
      <c r="L57" s="1" t="s">
        <v>73</v>
      </c>
      <c r="M57" s="12"/>
      <c r="N57" s="12"/>
      <c r="O57" s="12"/>
      <c r="P57" s="12"/>
      <c r="Q57" s="12"/>
      <c r="R57" s="12"/>
      <c r="S57" s="12"/>
      <c r="T57" s="12">
        <f>IF(M57="",0,INDEX(Sheet2!A$2:A$6,MATCH(M57,Sheet2!C$2:C$6,0)))</f>
        <v>0</v>
      </c>
      <c r="U57" s="12">
        <f>IF(N57="",0,INDEX(Sheet2!A$2:A$6,MATCH(N57,Sheet2!C$2:C$6,0)))</f>
        <v>0</v>
      </c>
      <c r="V57" s="12">
        <f>IF(O57="",0,INDEX(Sheet2!A$2:A$6,MATCH(O57,Sheet2!C$2:C$6,0)))</f>
        <v>0</v>
      </c>
      <c r="W57" s="12">
        <f>IF(P57="",0,INDEX(Sheet2!A$2:A$6,MATCH(P57,Sheet2!C$2:C$6,0)))</f>
        <v>0</v>
      </c>
      <c r="X57" s="12">
        <f>IF(Q57="",0,INDEX(Sheet2!A$2:A$6,MATCH(Q57,Sheet2!C$2:C$6,0)))</f>
        <v>0</v>
      </c>
      <c r="Y57" s="12">
        <f>IF(R57="",0,INDEX(Sheet2!A$2:A$6,MATCH(R57,Sheet2!C$2:C$6,0)))</f>
        <v>0</v>
      </c>
      <c r="Z57" s="12">
        <f t="shared" si="1"/>
        <v>0</v>
      </c>
      <c r="AA57" s="12" t="str">
        <f>IF(I57&gt;=7500,"E",IF(I57&gt;=6800,"D",IF(I57&gt;=4200,"C",IF(I57&gt;=3000,"B",IF(I57&gt;=750,"A","Below Slab")))))</f>
        <v>A</v>
      </c>
      <c r="AB57" s="19" t="str">
        <f>IF(I57&gt;=7500,"Samsung front-load washing machine",IF(I57&gt;=6800,"Apple iPad",IF(I57&gt;=4200,"Robot Vacuum cleaner",IF(I57&gt;=3000,"Sony - sound bar, woofer and speakers",IF(I57&gt;=750,"Foot massager","Not eligible")))))</f>
        <v>Foot massager</v>
      </c>
    </row>
    <row r="58" spans="1:28" customFormat="1">
      <c r="A58" s="1" t="s">
        <v>261</v>
      </c>
      <c r="B58" s="21" t="s">
        <v>262</v>
      </c>
      <c r="C58" s="21" t="s">
        <v>47</v>
      </c>
      <c r="D58" s="1" t="s">
        <v>29</v>
      </c>
      <c r="E58" s="1" t="s">
        <v>263</v>
      </c>
      <c r="F58" s="1" t="s">
        <v>115</v>
      </c>
      <c r="G58" s="1" t="s">
        <v>11</v>
      </c>
      <c r="H58" s="23">
        <v>59.959999999999994</v>
      </c>
      <c r="I58" s="23">
        <v>1648.8999999999999</v>
      </c>
      <c r="J58" s="2" t="str">
        <f t="shared" si="0"/>
        <v/>
      </c>
      <c r="K58" s="2" t="str">
        <f>IF(J58="","",I58-J58)</f>
        <v/>
      </c>
      <c r="L58" s="1" t="s">
        <v>73</v>
      </c>
      <c r="M58" s="12"/>
      <c r="N58" s="12"/>
      <c r="O58" s="12"/>
      <c r="P58" s="12"/>
      <c r="Q58" s="12"/>
      <c r="R58" s="12"/>
      <c r="S58" s="12"/>
      <c r="T58" s="12">
        <f>IF(M58="",0,INDEX(Sheet2!A$2:A$6,MATCH(M58,Sheet2!C$2:C$6,0)))</f>
        <v>0</v>
      </c>
      <c r="U58" s="12">
        <f>IF(N58="",0,INDEX(Sheet2!A$2:A$6,MATCH(N58,Sheet2!C$2:C$6,0)))</f>
        <v>0</v>
      </c>
      <c r="V58" s="12">
        <f>IF(O58="",0,INDEX(Sheet2!A$2:A$6,MATCH(O58,Sheet2!C$2:C$6,0)))</f>
        <v>0</v>
      </c>
      <c r="W58" s="12">
        <f>IF(P58="",0,INDEX(Sheet2!A$2:A$6,MATCH(P58,Sheet2!C$2:C$6,0)))</f>
        <v>0</v>
      </c>
      <c r="X58" s="12">
        <f>IF(Q58="",0,INDEX(Sheet2!A$2:A$6,MATCH(Q58,Sheet2!C$2:C$6,0)))</f>
        <v>0</v>
      </c>
      <c r="Y58" s="12">
        <f>IF(R58="",0,INDEX(Sheet2!A$2:A$6,MATCH(R58,Sheet2!C$2:C$6,0)))</f>
        <v>0</v>
      </c>
      <c r="Z58" s="12">
        <f t="shared" si="1"/>
        <v>0</v>
      </c>
      <c r="AA58" s="12" t="str">
        <f>IF(I58&gt;=7500,"E",IF(I58&gt;=6800,"D",IF(I58&gt;=4200,"C",IF(I58&gt;=3000,"B",IF(I58&gt;=750,"A","Below Slab")))))</f>
        <v>A</v>
      </c>
      <c r="AB58" s="19" t="str">
        <f>IF(I58&gt;=7500,"Samsung front-load washing machine",IF(I58&gt;=6800,"Apple iPad",IF(I58&gt;=4200,"Robot Vacuum cleaner",IF(I58&gt;=3000,"Sony - sound bar, woofer and speakers",IF(I58&gt;=750,"Foot massager","Not eligible")))))</f>
        <v>Foot massager</v>
      </c>
    </row>
    <row r="59" spans="1:28" customFormat="1">
      <c r="A59" s="1" t="s">
        <v>264</v>
      </c>
      <c r="B59" s="21" t="s">
        <v>265</v>
      </c>
      <c r="C59" s="21" t="s">
        <v>48</v>
      </c>
      <c r="D59" s="1" t="s">
        <v>29</v>
      </c>
      <c r="E59" s="1" t="s">
        <v>266</v>
      </c>
      <c r="F59" s="1" t="s">
        <v>115</v>
      </c>
      <c r="G59" s="1" t="s">
        <v>11</v>
      </c>
      <c r="H59" s="23">
        <v>36.04</v>
      </c>
      <c r="I59" s="23">
        <v>901</v>
      </c>
      <c r="J59" s="2" t="str">
        <f t="shared" si="0"/>
        <v/>
      </c>
      <c r="K59" s="2" t="str">
        <f>IF(J59="","",I59-J59)</f>
        <v/>
      </c>
      <c r="L59" s="1" t="s">
        <v>73</v>
      </c>
      <c r="M59" s="12"/>
      <c r="N59" s="12"/>
      <c r="O59" s="12"/>
      <c r="P59" s="12"/>
      <c r="Q59" s="12"/>
      <c r="R59" s="12"/>
      <c r="S59" s="12"/>
      <c r="T59" s="12">
        <f>IF(M59="",0,INDEX(Sheet2!A$2:A$6,MATCH(M59,Sheet2!C$2:C$6,0)))</f>
        <v>0</v>
      </c>
      <c r="U59" s="12">
        <f>IF(N59="",0,INDEX(Sheet2!A$2:A$6,MATCH(N59,Sheet2!C$2:C$6,0)))</f>
        <v>0</v>
      </c>
      <c r="V59" s="12">
        <f>IF(O59="",0,INDEX(Sheet2!A$2:A$6,MATCH(O59,Sheet2!C$2:C$6,0)))</f>
        <v>0</v>
      </c>
      <c r="W59" s="12">
        <f>IF(P59="",0,INDEX(Sheet2!A$2:A$6,MATCH(P59,Sheet2!C$2:C$6,0)))</f>
        <v>0</v>
      </c>
      <c r="X59" s="12">
        <f>IF(Q59="",0,INDEX(Sheet2!A$2:A$6,MATCH(Q59,Sheet2!C$2:C$6,0)))</f>
        <v>0</v>
      </c>
      <c r="Y59" s="12">
        <f>IF(R59="",0,INDEX(Sheet2!A$2:A$6,MATCH(R59,Sheet2!C$2:C$6,0)))</f>
        <v>0</v>
      </c>
      <c r="Z59" s="12">
        <f t="shared" si="1"/>
        <v>0</v>
      </c>
      <c r="AA59" s="12" t="str">
        <f>IF(I59&gt;=7500,"E",IF(I59&gt;=6800,"D",IF(I59&gt;=4200,"C",IF(I59&gt;=3000,"B",IF(I59&gt;=750,"A","Below Slab")))))</f>
        <v>A</v>
      </c>
      <c r="AB59" s="19" t="str">
        <f>IF(I59&gt;=7500,"Samsung front-load washing machine",IF(I59&gt;=6800,"Apple iPad",IF(I59&gt;=4200,"Robot Vacuum cleaner",IF(I59&gt;=3000,"Sony - sound bar, woofer and speakers",IF(I59&gt;=750,"Foot massager","Not eligible")))))</f>
        <v>Foot massager</v>
      </c>
    </row>
    <row r="60" spans="1:28" customFormat="1">
      <c r="A60" s="1" t="s">
        <v>267</v>
      </c>
      <c r="B60" s="21" t="s">
        <v>268</v>
      </c>
      <c r="C60" s="21" t="s">
        <v>60</v>
      </c>
      <c r="D60" s="1" t="s">
        <v>29</v>
      </c>
      <c r="E60" s="1" t="s">
        <v>269</v>
      </c>
      <c r="F60" s="1" t="s">
        <v>115</v>
      </c>
      <c r="G60" s="1" t="s">
        <v>11</v>
      </c>
      <c r="H60" s="23">
        <v>55</v>
      </c>
      <c r="I60" s="23">
        <v>1512.5000000000002</v>
      </c>
      <c r="J60" s="2" t="str">
        <f t="shared" si="0"/>
        <v/>
      </c>
      <c r="K60" s="2" t="str">
        <f>IF(J60="","",I60-J60)</f>
        <v/>
      </c>
      <c r="L60" s="1" t="s">
        <v>73</v>
      </c>
      <c r="M60" s="12"/>
      <c r="N60" s="12"/>
      <c r="O60" s="12"/>
      <c r="P60" s="12"/>
      <c r="Q60" s="12"/>
      <c r="R60" s="12"/>
      <c r="S60" s="12"/>
      <c r="T60" s="12">
        <f>IF(M60="",0,INDEX(Sheet2!A$2:A$6,MATCH(M60,Sheet2!C$2:C$6,0)))</f>
        <v>0</v>
      </c>
      <c r="U60" s="12">
        <f>IF(N60="",0,INDEX(Sheet2!A$2:A$6,MATCH(N60,Sheet2!C$2:C$6,0)))</f>
        <v>0</v>
      </c>
      <c r="V60" s="12">
        <f>IF(O60="",0,INDEX(Sheet2!A$2:A$6,MATCH(O60,Sheet2!C$2:C$6,0)))</f>
        <v>0</v>
      </c>
      <c r="W60" s="12">
        <f>IF(P60="",0,INDEX(Sheet2!A$2:A$6,MATCH(P60,Sheet2!C$2:C$6,0)))</f>
        <v>0</v>
      </c>
      <c r="X60" s="12">
        <f>IF(Q60="",0,INDEX(Sheet2!A$2:A$6,MATCH(Q60,Sheet2!C$2:C$6,0)))</f>
        <v>0</v>
      </c>
      <c r="Y60" s="12">
        <f>IF(R60="",0,INDEX(Sheet2!A$2:A$6,MATCH(R60,Sheet2!C$2:C$6,0)))</f>
        <v>0</v>
      </c>
      <c r="Z60" s="12">
        <f t="shared" si="1"/>
        <v>0</v>
      </c>
      <c r="AA60" s="12" t="str">
        <f>IF(I60&gt;=7500,"E",IF(I60&gt;=6800,"D",IF(I60&gt;=4200,"C",IF(I60&gt;=3000,"B",IF(I60&gt;=750,"A","Below Slab")))))</f>
        <v>A</v>
      </c>
      <c r="AB60" s="19" t="str">
        <f>IF(I60&gt;=7500,"Samsung front-load washing machine",IF(I60&gt;=6800,"Apple iPad",IF(I60&gt;=4200,"Robot Vacuum cleaner",IF(I60&gt;=3000,"Sony - sound bar, woofer and speakers",IF(I60&gt;=750,"Foot massager","Not eligible")))))</f>
        <v>Foot massager</v>
      </c>
    </row>
    <row r="61" spans="1:28" customFormat="1">
      <c r="A61" s="1" t="s">
        <v>270</v>
      </c>
      <c r="B61" s="21" t="s">
        <v>271</v>
      </c>
      <c r="C61" s="21" t="s">
        <v>60</v>
      </c>
      <c r="D61" s="1" t="s">
        <v>29</v>
      </c>
      <c r="E61" s="1" t="s">
        <v>272</v>
      </c>
      <c r="F61" s="1" t="s">
        <v>115</v>
      </c>
      <c r="G61" s="1" t="s">
        <v>11</v>
      </c>
      <c r="H61" s="23">
        <v>188.27000000000004</v>
      </c>
      <c r="I61" s="23">
        <v>6118.7750000000015</v>
      </c>
      <c r="J61" s="2" t="str">
        <f t="shared" si="0"/>
        <v/>
      </c>
      <c r="K61" s="2" t="str">
        <f>IF(J61="","",I61-J61)</f>
        <v/>
      </c>
      <c r="L61" s="1" t="s">
        <v>77</v>
      </c>
      <c r="M61" s="12"/>
      <c r="N61" s="12"/>
      <c r="O61" s="12"/>
      <c r="P61" s="12"/>
      <c r="Q61" s="12"/>
      <c r="R61" s="12"/>
      <c r="S61" s="12"/>
      <c r="T61" s="12">
        <f>IF(M61="",0,INDEX(Sheet2!A$2:A$6,MATCH(M61,Sheet2!C$2:C$6,0)))</f>
        <v>0</v>
      </c>
      <c r="U61" s="12">
        <f>IF(N61="",0,INDEX(Sheet2!A$2:A$6,MATCH(N61,Sheet2!C$2:C$6,0)))</f>
        <v>0</v>
      </c>
      <c r="V61" s="12">
        <f>IF(O61="",0,INDEX(Sheet2!A$2:A$6,MATCH(O61,Sheet2!C$2:C$6,0)))</f>
        <v>0</v>
      </c>
      <c r="W61" s="12">
        <f>IF(P61="",0,INDEX(Sheet2!A$2:A$6,MATCH(P61,Sheet2!C$2:C$6,0)))</f>
        <v>0</v>
      </c>
      <c r="X61" s="12">
        <f>IF(Q61="",0,INDEX(Sheet2!A$2:A$6,MATCH(Q61,Sheet2!C$2:C$6,0)))</f>
        <v>0</v>
      </c>
      <c r="Y61" s="12">
        <f>IF(R61="",0,INDEX(Sheet2!A$2:A$6,MATCH(R61,Sheet2!C$2:C$6,0)))</f>
        <v>0</v>
      </c>
      <c r="Z61" s="12">
        <f t="shared" si="1"/>
        <v>0</v>
      </c>
      <c r="AA61" s="12" t="str">
        <f>IF(I61&gt;=7500,"E",IF(I61&gt;=6800,"D",IF(I61&gt;=4200,"C",IF(I61&gt;=3000,"B",IF(I61&gt;=750,"A","Below Slab")))))</f>
        <v>C</v>
      </c>
      <c r="AB61" s="19" t="str">
        <f>IF(I61&gt;=7500,"Samsung front-load washing machine",IF(I61&gt;=6800,"Apple iPad",IF(I61&gt;=4200,"Robot Vacuum cleaner",IF(I61&gt;=3000,"Sony - sound bar, woofer and speakers",IF(I61&gt;=750,"Foot massager","Not eligible")))))</f>
        <v>Robot Vacuum cleaner</v>
      </c>
    </row>
    <row r="62" spans="1:28" customFormat="1">
      <c r="A62" s="1" t="s">
        <v>273</v>
      </c>
      <c r="B62" s="21" t="s">
        <v>274</v>
      </c>
      <c r="C62" s="21" t="s">
        <v>35</v>
      </c>
      <c r="D62" s="1">
        <v>0</v>
      </c>
      <c r="E62" s="1">
        <v>0</v>
      </c>
      <c r="F62" s="1" t="s">
        <v>115</v>
      </c>
      <c r="G62" s="1" t="s">
        <v>9</v>
      </c>
      <c r="H62" s="23">
        <v>50</v>
      </c>
      <c r="I62" s="23">
        <v>1375</v>
      </c>
      <c r="J62" s="2" t="str">
        <f t="shared" si="0"/>
        <v/>
      </c>
      <c r="K62" s="2" t="str">
        <f>IF(J62="","",I62-J62)</f>
        <v/>
      </c>
      <c r="L62" s="1" t="s">
        <v>73</v>
      </c>
      <c r="M62" s="12"/>
      <c r="N62" s="12"/>
      <c r="O62" s="12"/>
      <c r="P62" s="12"/>
      <c r="Q62" s="12"/>
      <c r="R62" s="12"/>
      <c r="S62" s="12"/>
      <c r="T62" s="12">
        <f>IF(M62="",0,INDEX(Sheet2!A$2:A$6,MATCH(M62,Sheet2!C$2:C$6,0)))</f>
        <v>0</v>
      </c>
      <c r="U62" s="12">
        <f>IF(N62="",0,INDEX(Sheet2!A$2:A$6,MATCH(N62,Sheet2!C$2:C$6,0)))</f>
        <v>0</v>
      </c>
      <c r="V62" s="12">
        <f>IF(O62="",0,INDEX(Sheet2!A$2:A$6,MATCH(O62,Sheet2!C$2:C$6,0)))</f>
        <v>0</v>
      </c>
      <c r="W62" s="12">
        <f>IF(P62="",0,INDEX(Sheet2!A$2:A$6,MATCH(P62,Sheet2!C$2:C$6,0)))</f>
        <v>0</v>
      </c>
      <c r="X62" s="12">
        <f>IF(Q62="",0,INDEX(Sheet2!A$2:A$6,MATCH(Q62,Sheet2!C$2:C$6,0)))</f>
        <v>0</v>
      </c>
      <c r="Y62" s="12">
        <f>IF(R62="",0,INDEX(Sheet2!A$2:A$6,MATCH(R62,Sheet2!C$2:C$6,0)))</f>
        <v>0</v>
      </c>
      <c r="Z62" s="12">
        <f t="shared" si="1"/>
        <v>0</v>
      </c>
      <c r="AA62" s="12" t="str">
        <f>IF(I62&gt;=7500,"E",IF(I62&gt;=6800,"D",IF(I62&gt;=4200,"C",IF(I62&gt;=3000,"B",IF(I62&gt;=750,"A","Below Slab")))))</f>
        <v>A</v>
      </c>
      <c r="AB62" s="19" t="str">
        <f>IF(I62&gt;=7500,"Samsung front-load washing machine",IF(I62&gt;=6800,"Apple iPad",IF(I62&gt;=4200,"Robot Vacuum cleaner",IF(I62&gt;=3000,"Sony - sound bar, woofer and speakers",IF(I62&gt;=750,"Foot massager","Not eligible")))))</f>
        <v>Foot massager</v>
      </c>
    </row>
    <row r="63" spans="1:28" customFormat="1">
      <c r="A63" s="1" t="s">
        <v>275</v>
      </c>
      <c r="B63" s="21" t="s">
        <v>276</v>
      </c>
      <c r="C63" s="21" t="s">
        <v>52</v>
      </c>
      <c r="D63" s="1">
        <v>0</v>
      </c>
      <c r="E63" s="1">
        <v>0</v>
      </c>
      <c r="F63" s="1" t="s">
        <v>115</v>
      </c>
      <c r="G63" s="1" t="s">
        <v>9</v>
      </c>
      <c r="H63" s="23">
        <v>141.78</v>
      </c>
      <c r="I63" s="23">
        <v>4253.3999999999996</v>
      </c>
      <c r="J63" s="2" t="str">
        <f t="shared" si="0"/>
        <v/>
      </c>
      <c r="K63" s="2" t="str">
        <f>IF(J63="","",I63-J63)</f>
        <v/>
      </c>
      <c r="L63" s="1" t="s">
        <v>77</v>
      </c>
      <c r="M63" s="12"/>
      <c r="N63" s="12"/>
      <c r="O63" s="12"/>
      <c r="P63" s="12"/>
      <c r="Q63" s="12"/>
      <c r="R63" s="12"/>
      <c r="S63" s="12"/>
      <c r="T63" s="12">
        <f>IF(M63="",0,INDEX(Sheet2!A$2:A$6,MATCH(M63,Sheet2!C$2:C$6,0)))</f>
        <v>0</v>
      </c>
      <c r="U63" s="12">
        <f>IF(N63="",0,INDEX(Sheet2!A$2:A$6,MATCH(N63,Sheet2!C$2:C$6,0)))</f>
        <v>0</v>
      </c>
      <c r="V63" s="12">
        <f>IF(O63="",0,INDEX(Sheet2!A$2:A$6,MATCH(O63,Sheet2!C$2:C$6,0)))</f>
        <v>0</v>
      </c>
      <c r="W63" s="12">
        <f>IF(P63="",0,INDEX(Sheet2!A$2:A$6,MATCH(P63,Sheet2!C$2:C$6,0)))</f>
        <v>0</v>
      </c>
      <c r="X63" s="12">
        <f>IF(Q63="",0,INDEX(Sheet2!A$2:A$6,MATCH(Q63,Sheet2!C$2:C$6,0)))</f>
        <v>0</v>
      </c>
      <c r="Y63" s="12">
        <f>IF(R63="",0,INDEX(Sheet2!A$2:A$6,MATCH(R63,Sheet2!C$2:C$6,0)))</f>
        <v>0</v>
      </c>
      <c r="Z63" s="12">
        <f t="shared" si="1"/>
        <v>0</v>
      </c>
      <c r="AA63" s="12" t="str">
        <f>IF(I63&gt;=7500,"E",IF(I63&gt;=6800,"D",IF(I63&gt;=4200,"C",IF(I63&gt;=3000,"B",IF(I63&gt;=750,"A","Below Slab")))))</f>
        <v>C</v>
      </c>
      <c r="AB63" s="19" t="str">
        <f>IF(I63&gt;=7500,"Samsung front-load washing machine",IF(I63&gt;=6800,"Apple iPad",IF(I63&gt;=4200,"Robot Vacuum cleaner",IF(I63&gt;=3000,"Sony - sound bar, woofer and speakers",IF(I63&gt;=750,"Foot massager","Not eligible")))))</f>
        <v>Robot Vacuum cleaner</v>
      </c>
    </row>
    <row r="64" spans="1:28" customFormat="1">
      <c r="A64" s="1" t="s">
        <v>277</v>
      </c>
      <c r="B64" s="21" t="s">
        <v>278</v>
      </c>
      <c r="C64" s="21" t="s">
        <v>58</v>
      </c>
      <c r="D64" s="1">
        <v>0</v>
      </c>
      <c r="E64" s="1">
        <v>0</v>
      </c>
      <c r="F64" s="1" t="s">
        <v>115</v>
      </c>
      <c r="G64" s="1" t="s">
        <v>9</v>
      </c>
      <c r="H64" s="23">
        <v>39</v>
      </c>
      <c r="I64" s="23">
        <v>975</v>
      </c>
      <c r="J64" s="2" t="str">
        <f t="shared" si="0"/>
        <v/>
      </c>
      <c r="K64" s="2" t="str">
        <f>IF(J64="","",I64-J64)</f>
        <v/>
      </c>
      <c r="L64" s="1" t="s">
        <v>73</v>
      </c>
      <c r="M64" s="12"/>
      <c r="N64" s="12"/>
      <c r="O64" s="12"/>
      <c r="P64" s="12"/>
      <c r="Q64" s="12"/>
      <c r="R64" s="12"/>
      <c r="S64" s="12"/>
      <c r="T64" s="12">
        <f>IF(M64="",0,INDEX(Sheet2!A$2:A$6,MATCH(M64,Sheet2!C$2:C$6,0)))</f>
        <v>0</v>
      </c>
      <c r="U64" s="12">
        <f>IF(N64="",0,INDEX(Sheet2!A$2:A$6,MATCH(N64,Sheet2!C$2:C$6,0)))</f>
        <v>0</v>
      </c>
      <c r="V64" s="12">
        <f>IF(O64="",0,INDEX(Sheet2!A$2:A$6,MATCH(O64,Sheet2!C$2:C$6,0)))</f>
        <v>0</v>
      </c>
      <c r="W64" s="12">
        <f>IF(P64="",0,INDEX(Sheet2!A$2:A$6,MATCH(P64,Sheet2!C$2:C$6,0)))</f>
        <v>0</v>
      </c>
      <c r="X64" s="12">
        <f>IF(Q64="",0,INDEX(Sheet2!A$2:A$6,MATCH(Q64,Sheet2!C$2:C$6,0)))</f>
        <v>0</v>
      </c>
      <c r="Y64" s="12">
        <f>IF(R64="",0,INDEX(Sheet2!A$2:A$6,MATCH(R64,Sheet2!C$2:C$6,0)))</f>
        <v>0</v>
      </c>
      <c r="Z64" s="12">
        <f t="shared" si="1"/>
        <v>0</v>
      </c>
      <c r="AA64" s="12" t="str">
        <f>IF(I64&gt;=7500,"E",IF(I64&gt;=6800,"D",IF(I64&gt;=4200,"C",IF(I64&gt;=3000,"B",IF(I64&gt;=750,"A","Below Slab")))))</f>
        <v>A</v>
      </c>
      <c r="AB64" s="19" t="str">
        <f>IF(I64&gt;=7500,"Samsung front-load washing machine",IF(I64&gt;=6800,"Apple iPad",IF(I64&gt;=4200,"Robot Vacuum cleaner",IF(I64&gt;=3000,"Sony - sound bar, woofer and speakers",IF(I64&gt;=750,"Foot massager","Not eligible")))))</f>
        <v>Foot massager</v>
      </c>
    </row>
    <row r="65" spans="1:28" customFormat="1">
      <c r="A65" s="1" t="s">
        <v>279</v>
      </c>
      <c r="B65" s="21" t="s">
        <v>280</v>
      </c>
      <c r="C65" s="21" t="s">
        <v>46</v>
      </c>
      <c r="D65" s="1" t="s">
        <v>17</v>
      </c>
      <c r="E65" s="1" t="s">
        <v>281</v>
      </c>
      <c r="F65" s="1" t="s">
        <v>115</v>
      </c>
      <c r="G65" s="1" t="s">
        <v>9</v>
      </c>
      <c r="H65" s="23">
        <v>461.29999999999995</v>
      </c>
      <c r="I65" s="23">
        <v>17298.749999999996</v>
      </c>
      <c r="J65" s="2" t="str">
        <f t="shared" si="0"/>
        <v/>
      </c>
      <c r="K65" s="2" t="str">
        <f>IF(J65="","",I65-J65)</f>
        <v/>
      </c>
      <c r="L65" s="1" t="s">
        <v>81</v>
      </c>
      <c r="M65" s="12"/>
      <c r="N65" s="12"/>
      <c r="O65" s="12"/>
      <c r="P65" s="12"/>
      <c r="Q65" s="12"/>
      <c r="R65" s="12"/>
      <c r="S65" s="12"/>
      <c r="T65" s="12">
        <f>IF(M65="",0,INDEX(Sheet2!A$2:A$6,MATCH(M65,Sheet2!C$2:C$6,0)))</f>
        <v>0</v>
      </c>
      <c r="U65" s="12">
        <f>IF(N65="",0,INDEX(Sheet2!A$2:A$6,MATCH(N65,Sheet2!C$2:C$6,0)))</f>
        <v>0</v>
      </c>
      <c r="V65" s="12">
        <f>IF(O65="",0,INDEX(Sheet2!A$2:A$6,MATCH(O65,Sheet2!C$2:C$6,0)))</f>
        <v>0</v>
      </c>
      <c r="W65" s="12">
        <f>IF(P65="",0,INDEX(Sheet2!A$2:A$6,MATCH(P65,Sheet2!C$2:C$6,0)))</f>
        <v>0</v>
      </c>
      <c r="X65" s="12">
        <f>IF(Q65="",0,INDEX(Sheet2!A$2:A$6,MATCH(Q65,Sheet2!C$2:C$6,0)))</f>
        <v>0</v>
      </c>
      <c r="Y65" s="12">
        <f>IF(R65="",0,INDEX(Sheet2!A$2:A$6,MATCH(R65,Sheet2!C$2:C$6,0)))</f>
        <v>0</v>
      </c>
      <c r="Z65" s="12">
        <f t="shared" si="1"/>
        <v>0</v>
      </c>
      <c r="AA65" s="12" t="str">
        <f>IF(I65&gt;=7500,"E",IF(I65&gt;=6800,"D",IF(I65&gt;=4200,"C",IF(I65&gt;=3000,"B",IF(I65&gt;=750,"A","Below Slab")))))</f>
        <v>E</v>
      </c>
      <c r="AB65" s="19" t="str">
        <f>IF(I65&gt;=7500,"Samsung front-load washing machine",IF(I65&gt;=6800,"Apple iPad",IF(I65&gt;=4200,"Robot Vacuum cleaner",IF(I65&gt;=3000,"Sony - sound bar, woofer and speakers",IF(I65&gt;=750,"Foot massager","Not eligible")))))</f>
        <v>Samsung front-load washing machine</v>
      </c>
    </row>
    <row r="66" spans="1:28" customFormat="1">
      <c r="A66" s="1" t="s">
        <v>282</v>
      </c>
      <c r="B66" s="21" t="s">
        <v>283</v>
      </c>
      <c r="C66" s="21" t="s">
        <v>46</v>
      </c>
      <c r="D66" s="1" t="s">
        <v>17</v>
      </c>
      <c r="E66" s="1" t="s">
        <v>284</v>
      </c>
      <c r="F66" s="1" t="s">
        <v>115</v>
      </c>
      <c r="G66" s="1" t="s">
        <v>9</v>
      </c>
      <c r="H66" s="23">
        <v>278.5</v>
      </c>
      <c r="I66" s="23">
        <v>10443.75</v>
      </c>
      <c r="J66" s="2" t="str">
        <f t="shared" si="0"/>
        <v/>
      </c>
      <c r="K66" s="2" t="str">
        <f>IF(J66="","",I66-J66)</f>
        <v/>
      </c>
      <c r="L66" s="1" t="s">
        <v>81</v>
      </c>
      <c r="M66" s="12"/>
      <c r="N66" s="12"/>
      <c r="O66" s="12"/>
      <c r="P66" s="12"/>
      <c r="Q66" s="12"/>
      <c r="R66" s="12"/>
      <c r="S66" s="12"/>
      <c r="T66" s="12">
        <f>IF(M66="",0,INDEX(Sheet2!A$2:A$6,MATCH(M66,Sheet2!C$2:C$6,0)))</f>
        <v>0</v>
      </c>
      <c r="U66" s="12">
        <f>IF(N66="",0,INDEX(Sheet2!A$2:A$6,MATCH(N66,Sheet2!C$2:C$6,0)))</f>
        <v>0</v>
      </c>
      <c r="V66" s="12">
        <f>IF(O66="",0,INDEX(Sheet2!A$2:A$6,MATCH(O66,Sheet2!C$2:C$6,0)))</f>
        <v>0</v>
      </c>
      <c r="W66" s="12">
        <f>IF(P66="",0,INDEX(Sheet2!A$2:A$6,MATCH(P66,Sheet2!C$2:C$6,0)))</f>
        <v>0</v>
      </c>
      <c r="X66" s="12">
        <f>IF(Q66="",0,INDEX(Sheet2!A$2:A$6,MATCH(Q66,Sheet2!C$2:C$6,0)))</f>
        <v>0</v>
      </c>
      <c r="Y66" s="12">
        <f>IF(R66="",0,INDEX(Sheet2!A$2:A$6,MATCH(R66,Sheet2!C$2:C$6,0)))</f>
        <v>0</v>
      </c>
      <c r="Z66" s="12">
        <f t="shared" si="1"/>
        <v>0</v>
      </c>
      <c r="AA66" s="12" t="str">
        <f>IF(I66&gt;=7500,"E",IF(I66&gt;=6800,"D",IF(I66&gt;=4200,"C",IF(I66&gt;=3000,"B",IF(I66&gt;=750,"A","Below Slab")))))</f>
        <v>E</v>
      </c>
      <c r="AB66" s="19" t="str">
        <f>IF(I66&gt;=7500,"Samsung front-load washing machine",IF(I66&gt;=6800,"Apple iPad",IF(I66&gt;=4200,"Robot Vacuum cleaner",IF(I66&gt;=3000,"Sony - sound bar, woofer and speakers",IF(I66&gt;=750,"Foot massager","Not eligible")))))</f>
        <v>Samsung front-load washing machine</v>
      </c>
    </row>
    <row r="67" spans="1:28" customFormat="1">
      <c r="A67" s="1" t="s">
        <v>285</v>
      </c>
      <c r="B67" s="21" t="s">
        <v>286</v>
      </c>
      <c r="C67" s="21" t="s">
        <v>46</v>
      </c>
      <c r="D67" s="1" t="s">
        <v>17</v>
      </c>
      <c r="E67" s="1" t="s">
        <v>287</v>
      </c>
      <c r="F67" s="1" t="s">
        <v>115</v>
      </c>
      <c r="G67" s="1" t="s">
        <v>9</v>
      </c>
      <c r="H67" s="23">
        <v>577.17999999999995</v>
      </c>
      <c r="I67" s="23">
        <v>21644.249999999996</v>
      </c>
      <c r="J67" s="2" t="str">
        <f t="shared" ref="J67:J130" si="2">IF(SUM(T67:Z67)=0,"",SUM(T67:Z67))</f>
        <v/>
      </c>
      <c r="K67" s="2" t="str">
        <f>IF(J67="","",I67-J67)</f>
        <v/>
      </c>
      <c r="L67" s="1" t="s">
        <v>81</v>
      </c>
      <c r="M67" s="12"/>
      <c r="N67" s="12"/>
      <c r="O67" s="12"/>
      <c r="P67" s="12"/>
      <c r="Q67" s="12"/>
      <c r="R67" s="12"/>
      <c r="S67" s="12"/>
      <c r="T67" s="12">
        <f>IF(M67="",0,INDEX(Sheet2!A$2:A$6,MATCH(M67,Sheet2!C$2:C$6,0)))</f>
        <v>0</v>
      </c>
      <c r="U67" s="12">
        <f>IF(N67="",0,INDEX(Sheet2!A$2:A$6,MATCH(N67,Sheet2!C$2:C$6,0)))</f>
        <v>0</v>
      </c>
      <c r="V67" s="12">
        <f>IF(O67="",0,INDEX(Sheet2!A$2:A$6,MATCH(O67,Sheet2!C$2:C$6,0)))</f>
        <v>0</v>
      </c>
      <c r="W67" s="12">
        <f>IF(P67="",0,INDEX(Sheet2!A$2:A$6,MATCH(P67,Sheet2!C$2:C$6,0)))</f>
        <v>0</v>
      </c>
      <c r="X67" s="12">
        <f>IF(Q67="",0,INDEX(Sheet2!A$2:A$6,MATCH(Q67,Sheet2!C$2:C$6,0)))</f>
        <v>0</v>
      </c>
      <c r="Y67" s="12">
        <f>IF(R67="",0,INDEX(Sheet2!A$2:A$6,MATCH(R67,Sheet2!C$2:C$6,0)))</f>
        <v>0</v>
      </c>
      <c r="Z67" s="12">
        <f t="shared" ref="Z67:Z130" si="3">IF(S67="Yes",I67-SUM(T67:Y67),0)</f>
        <v>0</v>
      </c>
      <c r="AA67" s="12" t="str">
        <f>IF(I67&gt;=7500,"E",IF(I67&gt;=6800,"D",IF(I67&gt;=4200,"C",IF(I67&gt;=3000,"B",IF(I67&gt;=750,"A","Below Slab")))))</f>
        <v>E</v>
      </c>
      <c r="AB67" s="19" t="str">
        <f>IF(I67&gt;=7500,"Samsung front-load washing machine",IF(I67&gt;=6800,"Apple iPad",IF(I67&gt;=4200,"Robot Vacuum cleaner",IF(I67&gt;=3000,"Sony - sound bar, woofer and speakers",IF(I67&gt;=750,"Foot massager","Not eligible")))))</f>
        <v>Samsung front-load washing machine</v>
      </c>
    </row>
    <row r="68" spans="1:28" customFormat="1">
      <c r="A68" s="1" t="s">
        <v>288</v>
      </c>
      <c r="B68" s="21" t="s">
        <v>289</v>
      </c>
      <c r="C68" s="21" t="s">
        <v>46</v>
      </c>
      <c r="D68" s="1" t="s">
        <v>17</v>
      </c>
      <c r="E68" s="1" t="s">
        <v>284</v>
      </c>
      <c r="F68" s="1" t="s">
        <v>115</v>
      </c>
      <c r="G68" s="1" t="s">
        <v>9</v>
      </c>
      <c r="H68" s="23">
        <v>110.42999999999999</v>
      </c>
      <c r="I68" s="23">
        <v>3312.9</v>
      </c>
      <c r="J68" s="2" t="str">
        <f t="shared" si="2"/>
        <v/>
      </c>
      <c r="K68" s="2" t="str">
        <f>IF(J68="","",I68-J68)</f>
        <v/>
      </c>
      <c r="L68" s="1" t="s">
        <v>134</v>
      </c>
      <c r="M68" s="12"/>
      <c r="N68" s="12"/>
      <c r="O68" s="12"/>
      <c r="P68" s="12"/>
      <c r="Q68" s="12"/>
      <c r="R68" s="12"/>
      <c r="S68" s="12"/>
      <c r="T68" s="12">
        <f>IF(M68="",0,INDEX(Sheet2!A$2:A$6,MATCH(M68,Sheet2!C$2:C$6,0)))</f>
        <v>0</v>
      </c>
      <c r="U68" s="12">
        <f>IF(N68="",0,INDEX(Sheet2!A$2:A$6,MATCH(N68,Sheet2!C$2:C$6,0)))</f>
        <v>0</v>
      </c>
      <c r="V68" s="12">
        <f>IF(O68="",0,INDEX(Sheet2!A$2:A$6,MATCH(O68,Sheet2!C$2:C$6,0)))</f>
        <v>0</v>
      </c>
      <c r="W68" s="12">
        <f>IF(P68="",0,INDEX(Sheet2!A$2:A$6,MATCH(P68,Sheet2!C$2:C$6,0)))</f>
        <v>0</v>
      </c>
      <c r="X68" s="12">
        <f>IF(Q68="",0,INDEX(Sheet2!A$2:A$6,MATCH(Q68,Sheet2!C$2:C$6,0)))</f>
        <v>0</v>
      </c>
      <c r="Y68" s="12">
        <f>IF(R68="",0,INDEX(Sheet2!A$2:A$6,MATCH(R68,Sheet2!C$2:C$6,0)))</f>
        <v>0</v>
      </c>
      <c r="Z68" s="12">
        <f t="shared" si="3"/>
        <v>0</v>
      </c>
      <c r="AA68" s="12" t="str">
        <f>IF(I68&gt;=7500,"E",IF(I68&gt;=6800,"D",IF(I68&gt;=4200,"C",IF(I68&gt;=3000,"B",IF(I68&gt;=750,"A","Below Slab")))))</f>
        <v>B</v>
      </c>
      <c r="AB68" s="19" t="str">
        <f>IF(I68&gt;=7500,"Samsung front-load washing machine",IF(I68&gt;=6800,"Apple iPad",IF(I68&gt;=4200,"Robot Vacuum cleaner",IF(I68&gt;=3000,"Sony - sound bar, woofer and speakers",IF(I68&gt;=750,"Foot massager","Not eligible")))))</f>
        <v>Sony - sound bar, woofer and speakers</v>
      </c>
    </row>
    <row r="69" spans="1:28" customFormat="1">
      <c r="A69" s="1" t="s">
        <v>290</v>
      </c>
      <c r="B69" s="21" t="s">
        <v>291</v>
      </c>
      <c r="C69" s="21" t="s">
        <v>46</v>
      </c>
      <c r="D69" s="1" t="s">
        <v>17</v>
      </c>
      <c r="E69" s="1" t="s">
        <v>292</v>
      </c>
      <c r="F69" s="1" t="s">
        <v>115</v>
      </c>
      <c r="G69" s="1" t="s">
        <v>9</v>
      </c>
      <c r="H69" s="23">
        <v>159.31</v>
      </c>
      <c r="I69" s="23">
        <v>5177.5749999999998</v>
      </c>
      <c r="J69" s="2" t="str">
        <f t="shared" si="2"/>
        <v/>
      </c>
      <c r="K69" s="2" t="str">
        <f>IF(J69="","",I69-J69)</f>
        <v/>
      </c>
      <c r="L69" s="1" t="s">
        <v>77</v>
      </c>
      <c r="M69" s="12"/>
      <c r="N69" s="12"/>
      <c r="O69" s="12"/>
      <c r="P69" s="12"/>
      <c r="Q69" s="12"/>
      <c r="R69" s="12"/>
      <c r="S69" s="12"/>
      <c r="T69" s="12">
        <f>IF(M69="",0,INDEX(Sheet2!A$2:A$6,MATCH(M69,Sheet2!C$2:C$6,0)))</f>
        <v>0</v>
      </c>
      <c r="U69" s="12">
        <f>IF(N69="",0,INDEX(Sheet2!A$2:A$6,MATCH(N69,Sheet2!C$2:C$6,0)))</f>
        <v>0</v>
      </c>
      <c r="V69" s="12">
        <f>IF(O69="",0,INDEX(Sheet2!A$2:A$6,MATCH(O69,Sheet2!C$2:C$6,0)))</f>
        <v>0</v>
      </c>
      <c r="W69" s="12">
        <f>IF(P69="",0,INDEX(Sheet2!A$2:A$6,MATCH(P69,Sheet2!C$2:C$6,0)))</f>
        <v>0</v>
      </c>
      <c r="X69" s="12">
        <f>IF(Q69="",0,INDEX(Sheet2!A$2:A$6,MATCH(Q69,Sheet2!C$2:C$6,0)))</f>
        <v>0</v>
      </c>
      <c r="Y69" s="12">
        <f>IF(R69="",0,INDEX(Sheet2!A$2:A$6,MATCH(R69,Sheet2!C$2:C$6,0)))</f>
        <v>0</v>
      </c>
      <c r="Z69" s="12">
        <f t="shared" si="3"/>
        <v>0</v>
      </c>
      <c r="AA69" s="12" t="str">
        <f>IF(I69&gt;=7500,"E",IF(I69&gt;=6800,"D",IF(I69&gt;=4200,"C",IF(I69&gt;=3000,"B",IF(I69&gt;=750,"A","Below Slab")))))</f>
        <v>C</v>
      </c>
      <c r="AB69" s="19" t="str">
        <f>IF(I69&gt;=7500,"Samsung front-load washing machine",IF(I69&gt;=6800,"Apple iPad",IF(I69&gt;=4200,"Robot Vacuum cleaner",IF(I69&gt;=3000,"Sony - sound bar, woofer and speakers",IF(I69&gt;=750,"Foot massager","Not eligible")))))</f>
        <v>Robot Vacuum cleaner</v>
      </c>
    </row>
    <row r="70" spans="1:28" customFormat="1">
      <c r="A70" s="1" t="s">
        <v>293</v>
      </c>
      <c r="B70" s="21" t="s">
        <v>294</v>
      </c>
      <c r="C70" s="21" t="s">
        <v>46</v>
      </c>
      <c r="D70" s="1" t="s">
        <v>17</v>
      </c>
      <c r="E70" s="1" t="s">
        <v>287</v>
      </c>
      <c r="F70" s="1" t="s">
        <v>115</v>
      </c>
      <c r="G70" s="1" t="s">
        <v>9</v>
      </c>
      <c r="H70" s="23">
        <v>31.520000000000003</v>
      </c>
      <c r="I70" s="23">
        <v>788.00000000000011</v>
      </c>
      <c r="J70" s="2" t="str">
        <f t="shared" si="2"/>
        <v/>
      </c>
      <c r="K70" s="2" t="str">
        <f>IF(J70="","",I70-J70)</f>
        <v/>
      </c>
      <c r="L70" s="1" t="s">
        <v>73</v>
      </c>
      <c r="M70" s="12"/>
      <c r="N70" s="12"/>
      <c r="O70" s="12"/>
      <c r="P70" s="12"/>
      <c r="Q70" s="12"/>
      <c r="R70" s="12"/>
      <c r="S70" s="12"/>
      <c r="T70" s="12">
        <f>IF(M70="",0,INDEX(Sheet2!A$2:A$6,MATCH(M70,Sheet2!C$2:C$6,0)))</f>
        <v>0</v>
      </c>
      <c r="U70" s="12">
        <f>IF(N70="",0,INDEX(Sheet2!A$2:A$6,MATCH(N70,Sheet2!C$2:C$6,0)))</f>
        <v>0</v>
      </c>
      <c r="V70" s="12">
        <f>IF(O70="",0,INDEX(Sheet2!A$2:A$6,MATCH(O70,Sheet2!C$2:C$6,0)))</f>
        <v>0</v>
      </c>
      <c r="W70" s="12">
        <f>IF(P70="",0,INDEX(Sheet2!A$2:A$6,MATCH(P70,Sheet2!C$2:C$6,0)))</f>
        <v>0</v>
      </c>
      <c r="X70" s="12">
        <f>IF(Q70="",0,INDEX(Sheet2!A$2:A$6,MATCH(Q70,Sheet2!C$2:C$6,0)))</f>
        <v>0</v>
      </c>
      <c r="Y70" s="12">
        <f>IF(R70="",0,INDEX(Sheet2!A$2:A$6,MATCH(R70,Sheet2!C$2:C$6,0)))</f>
        <v>0</v>
      </c>
      <c r="Z70" s="12">
        <f t="shared" si="3"/>
        <v>0</v>
      </c>
      <c r="AA70" s="12" t="str">
        <f>IF(I70&gt;=7500,"E",IF(I70&gt;=6800,"D",IF(I70&gt;=4200,"C",IF(I70&gt;=3000,"B",IF(I70&gt;=750,"A","Below Slab")))))</f>
        <v>A</v>
      </c>
      <c r="AB70" s="19" t="str">
        <f>IF(I70&gt;=7500,"Samsung front-load washing machine",IF(I70&gt;=6800,"Apple iPad",IF(I70&gt;=4200,"Robot Vacuum cleaner",IF(I70&gt;=3000,"Sony - sound bar, woofer and speakers",IF(I70&gt;=750,"Foot massager","Not eligible")))))</f>
        <v>Foot massager</v>
      </c>
    </row>
    <row r="71" spans="1:28" customFormat="1">
      <c r="A71" s="1" t="s">
        <v>295</v>
      </c>
      <c r="B71" s="21" t="s">
        <v>296</v>
      </c>
      <c r="C71" s="21" t="s">
        <v>46</v>
      </c>
      <c r="D71" s="1" t="s">
        <v>17</v>
      </c>
      <c r="E71" s="1" t="s">
        <v>297</v>
      </c>
      <c r="F71" s="1" t="s">
        <v>115</v>
      </c>
      <c r="G71" s="1" t="s">
        <v>9</v>
      </c>
      <c r="H71" s="23">
        <v>42.38</v>
      </c>
      <c r="I71" s="23">
        <v>1059.5</v>
      </c>
      <c r="J71" s="2" t="str">
        <f t="shared" si="2"/>
        <v/>
      </c>
      <c r="K71" s="2" t="str">
        <f>IF(J71="","",I71-J71)</f>
        <v/>
      </c>
      <c r="L71" s="1" t="s">
        <v>73</v>
      </c>
      <c r="M71" s="12"/>
      <c r="N71" s="12"/>
      <c r="O71" s="12"/>
      <c r="P71" s="12"/>
      <c r="Q71" s="12"/>
      <c r="R71" s="12"/>
      <c r="S71" s="12"/>
      <c r="T71" s="12">
        <f>IF(M71="",0,INDEX(Sheet2!A$2:A$6,MATCH(M71,Sheet2!C$2:C$6,0)))</f>
        <v>0</v>
      </c>
      <c r="U71" s="12">
        <f>IF(N71="",0,INDEX(Sheet2!A$2:A$6,MATCH(N71,Sheet2!C$2:C$6,0)))</f>
        <v>0</v>
      </c>
      <c r="V71" s="12">
        <f>IF(O71="",0,INDEX(Sheet2!A$2:A$6,MATCH(O71,Sheet2!C$2:C$6,0)))</f>
        <v>0</v>
      </c>
      <c r="W71" s="12">
        <f>IF(P71="",0,INDEX(Sheet2!A$2:A$6,MATCH(P71,Sheet2!C$2:C$6,0)))</f>
        <v>0</v>
      </c>
      <c r="X71" s="12">
        <f>IF(Q71="",0,INDEX(Sheet2!A$2:A$6,MATCH(Q71,Sheet2!C$2:C$6,0)))</f>
        <v>0</v>
      </c>
      <c r="Y71" s="12">
        <f>IF(R71="",0,INDEX(Sheet2!A$2:A$6,MATCH(R71,Sheet2!C$2:C$6,0)))</f>
        <v>0</v>
      </c>
      <c r="Z71" s="12">
        <f t="shared" si="3"/>
        <v>0</v>
      </c>
      <c r="AA71" s="12" t="str">
        <f>IF(I71&gt;=7500,"E",IF(I71&gt;=6800,"D",IF(I71&gt;=4200,"C",IF(I71&gt;=3000,"B",IF(I71&gt;=750,"A","Below Slab")))))</f>
        <v>A</v>
      </c>
      <c r="AB71" s="19" t="str">
        <f>IF(I71&gt;=7500,"Samsung front-load washing machine",IF(I71&gt;=6800,"Apple iPad",IF(I71&gt;=4200,"Robot Vacuum cleaner",IF(I71&gt;=3000,"Sony - sound bar, woofer and speakers",IF(I71&gt;=750,"Foot massager","Not eligible")))))</f>
        <v>Foot massager</v>
      </c>
    </row>
    <row r="72" spans="1:28" customFormat="1">
      <c r="A72" s="1" t="s">
        <v>298</v>
      </c>
      <c r="B72" s="21" t="s">
        <v>299</v>
      </c>
      <c r="C72" s="21" t="s">
        <v>46</v>
      </c>
      <c r="D72" s="1" t="s">
        <v>17</v>
      </c>
      <c r="E72" s="1" t="s">
        <v>300</v>
      </c>
      <c r="F72" s="1" t="s">
        <v>115</v>
      </c>
      <c r="G72" s="1" t="s">
        <v>9</v>
      </c>
      <c r="H72" s="23">
        <v>55.45</v>
      </c>
      <c r="I72" s="23">
        <v>1524.8750000000002</v>
      </c>
      <c r="J72" s="2" t="str">
        <f t="shared" si="2"/>
        <v/>
      </c>
      <c r="K72" s="2" t="str">
        <f>IF(J72="","",I72-J72)</f>
        <v/>
      </c>
      <c r="L72" s="1" t="s">
        <v>73</v>
      </c>
      <c r="M72" s="12"/>
      <c r="N72" s="12"/>
      <c r="O72" s="12"/>
      <c r="P72" s="12"/>
      <c r="Q72" s="12"/>
      <c r="R72" s="12"/>
      <c r="S72" s="12"/>
      <c r="T72" s="12">
        <f>IF(M72="",0,INDEX(Sheet2!A$2:A$6,MATCH(M72,Sheet2!C$2:C$6,0)))</f>
        <v>0</v>
      </c>
      <c r="U72" s="12">
        <f>IF(N72="",0,INDEX(Sheet2!A$2:A$6,MATCH(N72,Sheet2!C$2:C$6,0)))</f>
        <v>0</v>
      </c>
      <c r="V72" s="12">
        <f>IF(O72="",0,INDEX(Sheet2!A$2:A$6,MATCH(O72,Sheet2!C$2:C$6,0)))</f>
        <v>0</v>
      </c>
      <c r="W72" s="12">
        <f>IF(P72="",0,INDEX(Sheet2!A$2:A$6,MATCH(P72,Sheet2!C$2:C$6,0)))</f>
        <v>0</v>
      </c>
      <c r="X72" s="12">
        <f>IF(Q72="",0,INDEX(Sheet2!A$2:A$6,MATCH(Q72,Sheet2!C$2:C$6,0)))</f>
        <v>0</v>
      </c>
      <c r="Y72" s="12">
        <f>IF(R72="",0,INDEX(Sheet2!A$2:A$6,MATCH(R72,Sheet2!C$2:C$6,0)))</f>
        <v>0</v>
      </c>
      <c r="Z72" s="12">
        <f t="shared" si="3"/>
        <v>0</v>
      </c>
      <c r="AA72" s="12" t="str">
        <f>IF(I72&gt;=7500,"E",IF(I72&gt;=6800,"D",IF(I72&gt;=4200,"C",IF(I72&gt;=3000,"B",IF(I72&gt;=750,"A","Below Slab")))))</f>
        <v>A</v>
      </c>
      <c r="AB72" s="19" t="str">
        <f>IF(I72&gt;=7500,"Samsung front-load washing machine",IF(I72&gt;=6800,"Apple iPad",IF(I72&gt;=4200,"Robot Vacuum cleaner",IF(I72&gt;=3000,"Sony - sound bar, woofer and speakers",IF(I72&gt;=750,"Foot massager","Not eligible")))))</f>
        <v>Foot massager</v>
      </c>
    </row>
    <row r="73" spans="1:28" customFormat="1">
      <c r="A73" s="1" t="s">
        <v>301</v>
      </c>
      <c r="B73" s="21" t="s">
        <v>302</v>
      </c>
      <c r="C73" s="21" t="s">
        <v>46</v>
      </c>
      <c r="D73" s="1" t="s">
        <v>17</v>
      </c>
      <c r="E73" s="1" t="s">
        <v>281</v>
      </c>
      <c r="F73" s="1" t="s">
        <v>115</v>
      </c>
      <c r="G73" s="1" t="s">
        <v>9</v>
      </c>
      <c r="H73" s="23">
        <v>225.16</v>
      </c>
      <c r="I73" s="23">
        <v>8443.5</v>
      </c>
      <c r="J73" s="2" t="str">
        <f t="shared" si="2"/>
        <v/>
      </c>
      <c r="K73" s="2" t="str">
        <f>IF(J73="","",I73-J73)</f>
        <v/>
      </c>
      <c r="L73" s="1" t="s">
        <v>81</v>
      </c>
      <c r="M73" s="12"/>
      <c r="N73" s="12"/>
      <c r="O73" s="12"/>
      <c r="P73" s="12"/>
      <c r="Q73" s="12"/>
      <c r="R73" s="12"/>
      <c r="S73" s="12"/>
      <c r="T73" s="12">
        <f>IF(M73="",0,INDEX(Sheet2!A$2:A$6,MATCH(M73,Sheet2!C$2:C$6,0)))</f>
        <v>0</v>
      </c>
      <c r="U73" s="12">
        <f>IF(N73="",0,INDEX(Sheet2!A$2:A$6,MATCH(N73,Sheet2!C$2:C$6,0)))</f>
        <v>0</v>
      </c>
      <c r="V73" s="12">
        <f>IF(O73="",0,INDEX(Sheet2!A$2:A$6,MATCH(O73,Sheet2!C$2:C$6,0)))</f>
        <v>0</v>
      </c>
      <c r="W73" s="12">
        <f>IF(P73="",0,INDEX(Sheet2!A$2:A$6,MATCH(P73,Sheet2!C$2:C$6,0)))</f>
        <v>0</v>
      </c>
      <c r="X73" s="12">
        <f>IF(Q73="",0,INDEX(Sheet2!A$2:A$6,MATCH(Q73,Sheet2!C$2:C$6,0)))</f>
        <v>0</v>
      </c>
      <c r="Y73" s="12">
        <f>IF(R73="",0,INDEX(Sheet2!A$2:A$6,MATCH(R73,Sheet2!C$2:C$6,0)))</f>
        <v>0</v>
      </c>
      <c r="Z73" s="12">
        <f t="shared" si="3"/>
        <v>0</v>
      </c>
      <c r="AA73" s="12" t="str">
        <f>IF(I73&gt;=7500,"E",IF(I73&gt;=6800,"D",IF(I73&gt;=4200,"C",IF(I73&gt;=3000,"B",IF(I73&gt;=750,"A","Below Slab")))))</f>
        <v>E</v>
      </c>
      <c r="AB73" s="19" t="str">
        <f>IF(I73&gt;=7500,"Samsung front-load washing machine",IF(I73&gt;=6800,"Apple iPad",IF(I73&gt;=4200,"Robot Vacuum cleaner",IF(I73&gt;=3000,"Sony - sound bar, woofer and speakers",IF(I73&gt;=750,"Foot massager","Not eligible")))))</f>
        <v>Samsung front-load washing machine</v>
      </c>
    </row>
    <row r="74" spans="1:28" customFormat="1">
      <c r="A74" s="1" t="s">
        <v>303</v>
      </c>
      <c r="B74" s="21" t="s">
        <v>304</v>
      </c>
      <c r="C74" s="21" t="s">
        <v>46</v>
      </c>
      <c r="D74" s="1" t="s">
        <v>17</v>
      </c>
      <c r="E74" s="1" t="s">
        <v>297</v>
      </c>
      <c r="F74" s="1" t="s">
        <v>115</v>
      </c>
      <c r="G74" s="1" t="s">
        <v>9</v>
      </c>
      <c r="H74" s="23">
        <v>49.75</v>
      </c>
      <c r="I74" s="23">
        <v>1243.75</v>
      </c>
      <c r="J74" s="2" t="str">
        <f t="shared" si="2"/>
        <v/>
      </c>
      <c r="K74" s="2" t="str">
        <f>IF(J74="","",I74-J74)</f>
        <v/>
      </c>
      <c r="L74" s="1" t="s">
        <v>73</v>
      </c>
      <c r="M74" s="12"/>
      <c r="N74" s="12"/>
      <c r="O74" s="12"/>
      <c r="P74" s="12"/>
      <c r="Q74" s="12"/>
      <c r="R74" s="12"/>
      <c r="S74" s="12"/>
      <c r="T74" s="12">
        <f>IF(M74="",0,INDEX(Sheet2!A$2:A$6,MATCH(M74,Sheet2!C$2:C$6,0)))</f>
        <v>0</v>
      </c>
      <c r="U74" s="12">
        <f>IF(N74="",0,INDEX(Sheet2!A$2:A$6,MATCH(N74,Sheet2!C$2:C$6,0)))</f>
        <v>0</v>
      </c>
      <c r="V74" s="12">
        <f>IF(O74="",0,INDEX(Sheet2!A$2:A$6,MATCH(O74,Sheet2!C$2:C$6,0)))</f>
        <v>0</v>
      </c>
      <c r="W74" s="12">
        <f>IF(P74="",0,INDEX(Sheet2!A$2:A$6,MATCH(P74,Sheet2!C$2:C$6,0)))</f>
        <v>0</v>
      </c>
      <c r="X74" s="12">
        <f>IF(Q74="",0,INDEX(Sheet2!A$2:A$6,MATCH(Q74,Sheet2!C$2:C$6,0)))</f>
        <v>0</v>
      </c>
      <c r="Y74" s="12">
        <f>IF(R74="",0,INDEX(Sheet2!A$2:A$6,MATCH(R74,Sheet2!C$2:C$6,0)))</f>
        <v>0</v>
      </c>
      <c r="Z74" s="12">
        <f t="shared" si="3"/>
        <v>0</v>
      </c>
      <c r="AA74" s="12" t="str">
        <f>IF(I74&gt;=7500,"E",IF(I74&gt;=6800,"D",IF(I74&gt;=4200,"C",IF(I74&gt;=3000,"B",IF(I74&gt;=750,"A","Below Slab")))))</f>
        <v>A</v>
      </c>
      <c r="AB74" s="19" t="str">
        <f>IF(I74&gt;=7500,"Samsung front-load washing machine",IF(I74&gt;=6800,"Apple iPad",IF(I74&gt;=4200,"Robot Vacuum cleaner",IF(I74&gt;=3000,"Sony - sound bar, woofer and speakers",IF(I74&gt;=750,"Foot massager","Not eligible")))))</f>
        <v>Foot massager</v>
      </c>
    </row>
    <row r="75" spans="1:28" customFormat="1">
      <c r="A75" s="1" t="s">
        <v>305</v>
      </c>
      <c r="B75" s="21" t="s">
        <v>306</v>
      </c>
      <c r="C75" s="21" t="s">
        <v>46</v>
      </c>
      <c r="D75" s="1" t="s">
        <v>17</v>
      </c>
      <c r="E75" s="1" t="s">
        <v>297</v>
      </c>
      <c r="F75" s="1" t="s">
        <v>115</v>
      </c>
      <c r="G75" s="1" t="s">
        <v>9</v>
      </c>
      <c r="H75" s="23">
        <v>100.64</v>
      </c>
      <c r="I75" s="23">
        <v>3019.2</v>
      </c>
      <c r="J75" s="2" t="str">
        <f t="shared" si="2"/>
        <v/>
      </c>
      <c r="K75" s="2" t="str">
        <f>IF(J75="","",I75-J75)</f>
        <v/>
      </c>
      <c r="L75" s="1" t="s">
        <v>134</v>
      </c>
      <c r="M75" s="12"/>
      <c r="N75" s="12"/>
      <c r="O75" s="12"/>
      <c r="P75" s="12"/>
      <c r="Q75" s="12"/>
      <c r="R75" s="12"/>
      <c r="S75" s="12"/>
      <c r="T75" s="12">
        <f>IF(M75="",0,INDEX(Sheet2!A$2:A$6,MATCH(M75,Sheet2!C$2:C$6,0)))</f>
        <v>0</v>
      </c>
      <c r="U75" s="12">
        <f>IF(N75="",0,INDEX(Sheet2!A$2:A$6,MATCH(N75,Sheet2!C$2:C$6,0)))</f>
        <v>0</v>
      </c>
      <c r="V75" s="12">
        <f>IF(O75="",0,INDEX(Sheet2!A$2:A$6,MATCH(O75,Sheet2!C$2:C$6,0)))</f>
        <v>0</v>
      </c>
      <c r="W75" s="12">
        <f>IF(P75="",0,INDEX(Sheet2!A$2:A$6,MATCH(P75,Sheet2!C$2:C$6,0)))</f>
        <v>0</v>
      </c>
      <c r="X75" s="12">
        <f>IF(Q75="",0,INDEX(Sheet2!A$2:A$6,MATCH(Q75,Sheet2!C$2:C$6,0)))</f>
        <v>0</v>
      </c>
      <c r="Y75" s="12">
        <f>IF(R75="",0,INDEX(Sheet2!A$2:A$6,MATCH(R75,Sheet2!C$2:C$6,0)))</f>
        <v>0</v>
      </c>
      <c r="Z75" s="12">
        <f t="shared" si="3"/>
        <v>0</v>
      </c>
      <c r="AA75" s="12" t="str">
        <f>IF(I75&gt;=7500,"E",IF(I75&gt;=6800,"D",IF(I75&gt;=4200,"C",IF(I75&gt;=3000,"B",IF(I75&gt;=750,"A","Below Slab")))))</f>
        <v>B</v>
      </c>
      <c r="AB75" s="19" t="str">
        <f>IF(I75&gt;=7500,"Samsung front-load washing machine",IF(I75&gt;=6800,"Apple iPad",IF(I75&gt;=4200,"Robot Vacuum cleaner",IF(I75&gt;=3000,"Sony - sound bar, woofer and speakers",IF(I75&gt;=750,"Foot massager","Not eligible")))))</f>
        <v>Sony - sound bar, woofer and speakers</v>
      </c>
    </row>
    <row r="76" spans="1:28" customFormat="1">
      <c r="A76" s="1" t="s">
        <v>307</v>
      </c>
      <c r="B76" s="21" t="s">
        <v>308</v>
      </c>
      <c r="C76" s="21" t="s">
        <v>46</v>
      </c>
      <c r="D76" s="1" t="s">
        <v>17</v>
      </c>
      <c r="E76" s="1" t="s">
        <v>287</v>
      </c>
      <c r="F76" s="1" t="s">
        <v>115</v>
      </c>
      <c r="G76" s="1" t="s">
        <v>9</v>
      </c>
      <c r="H76" s="23">
        <v>206.65</v>
      </c>
      <c r="I76" s="23">
        <v>7749.375</v>
      </c>
      <c r="J76" s="2" t="str">
        <f t="shared" si="2"/>
        <v/>
      </c>
      <c r="K76" s="2" t="str">
        <f>IF(J76="","",I76-J76)</f>
        <v/>
      </c>
      <c r="L76" s="1" t="s">
        <v>81</v>
      </c>
      <c r="M76" s="12"/>
      <c r="N76" s="12"/>
      <c r="O76" s="12"/>
      <c r="P76" s="12"/>
      <c r="Q76" s="12"/>
      <c r="R76" s="12"/>
      <c r="S76" s="12"/>
      <c r="T76" s="12">
        <f>IF(M76="",0,INDEX(Sheet2!A$2:A$6,MATCH(M76,Sheet2!C$2:C$6,0)))</f>
        <v>0</v>
      </c>
      <c r="U76" s="12">
        <f>IF(N76="",0,INDEX(Sheet2!A$2:A$6,MATCH(N76,Sheet2!C$2:C$6,0)))</f>
        <v>0</v>
      </c>
      <c r="V76" s="12">
        <f>IF(O76="",0,INDEX(Sheet2!A$2:A$6,MATCH(O76,Sheet2!C$2:C$6,0)))</f>
        <v>0</v>
      </c>
      <c r="W76" s="12">
        <f>IF(P76="",0,INDEX(Sheet2!A$2:A$6,MATCH(P76,Sheet2!C$2:C$6,0)))</f>
        <v>0</v>
      </c>
      <c r="X76" s="12">
        <f>IF(Q76="",0,INDEX(Sheet2!A$2:A$6,MATCH(Q76,Sheet2!C$2:C$6,0)))</f>
        <v>0</v>
      </c>
      <c r="Y76" s="12">
        <f>IF(R76="",0,INDEX(Sheet2!A$2:A$6,MATCH(R76,Sheet2!C$2:C$6,0)))</f>
        <v>0</v>
      </c>
      <c r="Z76" s="12">
        <f t="shared" si="3"/>
        <v>0</v>
      </c>
      <c r="AA76" s="12" t="str">
        <f>IF(I76&gt;=7500,"E",IF(I76&gt;=6800,"D",IF(I76&gt;=4200,"C",IF(I76&gt;=3000,"B",IF(I76&gt;=750,"A","Below Slab")))))</f>
        <v>E</v>
      </c>
      <c r="AB76" s="19" t="str">
        <f>IF(I76&gt;=7500,"Samsung front-load washing machine",IF(I76&gt;=6800,"Apple iPad",IF(I76&gt;=4200,"Robot Vacuum cleaner",IF(I76&gt;=3000,"Sony - sound bar, woofer and speakers",IF(I76&gt;=750,"Foot massager","Not eligible")))))</f>
        <v>Samsung front-load washing machine</v>
      </c>
    </row>
    <row r="77" spans="1:28" customFormat="1">
      <c r="A77" s="1" t="s">
        <v>309</v>
      </c>
      <c r="B77" s="21" t="s">
        <v>310</v>
      </c>
      <c r="C77" s="21" t="s">
        <v>49</v>
      </c>
      <c r="D77" s="1" t="s">
        <v>17</v>
      </c>
      <c r="E77" s="1" t="s">
        <v>311</v>
      </c>
      <c r="F77" s="1" t="s">
        <v>115</v>
      </c>
      <c r="G77" s="1" t="s">
        <v>9</v>
      </c>
      <c r="H77" s="23">
        <v>36.700000000000003</v>
      </c>
      <c r="I77" s="23">
        <v>917.50000000000011</v>
      </c>
      <c r="J77" s="2" t="str">
        <f t="shared" si="2"/>
        <v/>
      </c>
      <c r="K77" s="2" t="str">
        <f>IF(J77="","",I77-J77)</f>
        <v/>
      </c>
      <c r="L77" s="1" t="s">
        <v>73</v>
      </c>
      <c r="M77" s="12"/>
      <c r="N77" s="12"/>
      <c r="O77" s="12"/>
      <c r="P77" s="12"/>
      <c r="Q77" s="12"/>
      <c r="R77" s="12"/>
      <c r="S77" s="12"/>
      <c r="T77" s="12">
        <f>IF(M77="",0,INDEX(Sheet2!A$2:A$6,MATCH(M77,Sheet2!C$2:C$6,0)))</f>
        <v>0</v>
      </c>
      <c r="U77" s="12">
        <f>IF(N77="",0,INDEX(Sheet2!A$2:A$6,MATCH(N77,Sheet2!C$2:C$6,0)))</f>
        <v>0</v>
      </c>
      <c r="V77" s="12">
        <f>IF(O77="",0,INDEX(Sheet2!A$2:A$6,MATCH(O77,Sheet2!C$2:C$6,0)))</f>
        <v>0</v>
      </c>
      <c r="W77" s="12">
        <f>IF(P77="",0,INDEX(Sheet2!A$2:A$6,MATCH(P77,Sheet2!C$2:C$6,0)))</f>
        <v>0</v>
      </c>
      <c r="X77" s="12">
        <f>IF(Q77="",0,INDEX(Sheet2!A$2:A$6,MATCH(Q77,Sheet2!C$2:C$6,0)))</f>
        <v>0</v>
      </c>
      <c r="Y77" s="12">
        <f>IF(R77="",0,INDEX(Sheet2!A$2:A$6,MATCH(R77,Sheet2!C$2:C$6,0)))</f>
        <v>0</v>
      </c>
      <c r="Z77" s="12">
        <f t="shared" si="3"/>
        <v>0</v>
      </c>
      <c r="AA77" s="12" t="str">
        <f>IF(I77&gt;=7500,"E",IF(I77&gt;=6800,"D",IF(I77&gt;=4200,"C",IF(I77&gt;=3000,"B",IF(I77&gt;=750,"A","Below Slab")))))</f>
        <v>A</v>
      </c>
      <c r="AB77" s="19" t="str">
        <f>IF(I77&gt;=7500,"Samsung front-load washing machine",IF(I77&gt;=6800,"Apple iPad",IF(I77&gt;=4200,"Robot Vacuum cleaner",IF(I77&gt;=3000,"Sony - sound bar, woofer and speakers",IF(I77&gt;=750,"Foot massager","Not eligible")))))</f>
        <v>Foot massager</v>
      </c>
    </row>
    <row r="78" spans="1:28" customFormat="1">
      <c r="A78" s="1" t="s">
        <v>312</v>
      </c>
      <c r="B78" s="21" t="s">
        <v>313</v>
      </c>
      <c r="C78" s="21" t="s">
        <v>39</v>
      </c>
      <c r="D78" s="1" t="s">
        <v>18</v>
      </c>
      <c r="E78" s="1" t="s">
        <v>314</v>
      </c>
      <c r="F78" s="1" t="s">
        <v>115</v>
      </c>
      <c r="G78" s="1" t="s">
        <v>9</v>
      </c>
      <c r="H78" s="23">
        <v>204.31</v>
      </c>
      <c r="I78" s="23">
        <v>7661.625</v>
      </c>
      <c r="J78" s="2" t="str">
        <f t="shared" si="2"/>
        <v/>
      </c>
      <c r="K78" s="2" t="str">
        <f>IF(J78="","",I78-J78)</f>
        <v/>
      </c>
      <c r="L78" s="1" t="s">
        <v>81</v>
      </c>
      <c r="M78" s="12"/>
      <c r="N78" s="12"/>
      <c r="O78" s="12"/>
      <c r="P78" s="12"/>
      <c r="Q78" s="12"/>
      <c r="R78" s="12"/>
      <c r="S78" s="12"/>
      <c r="T78" s="12">
        <f>IF(M78="",0,INDEX(Sheet2!A$2:A$6,MATCH(M78,Sheet2!C$2:C$6,0)))</f>
        <v>0</v>
      </c>
      <c r="U78" s="12">
        <f>IF(N78="",0,INDEX(Sheet2!A$2:A$6,MATCH(N78,Sheet2!C$2:C$6,0)))</f>
        <v>0</v>
      </c>
      <c r="V78" s="12">
        <f>IF(O78="",0,INDEX(Sheet2!A$2:A$6,MATCH(O78,Sheet2!C$2:C$6,0)))</f>
        <v>0</v>
      </c>
      <c r="W78" s="12">
        <f>IF(P78="",0,INDEX(Sheet2!A$2:A$6,MATCH(P78,Sheet2!C$2:C$6,0)))</f>
        <v>0</v>
      </c>
      <c r="X78" s="12">
        <f>IF(Q78="",0,INDEX(Sheet2!A$2:A$6,MATCH(Q78,Sheet2!C$2:C$6,0)))</f>
        <v>0</v>
      </c>
      <c r="Y78" s="12">
        <f>IF(R78="",0,INDEX(Sheet2!A$2:A$6,MATCH(R78,Sheet2!C$2:C$6,0)))</f>
        <v>0</v>
      </c>
      <c r="Z78" s="12">
        <f t="shared" si="3"/>
        <v>0</v>
      </c>
      <c r="AA78" s="12" t="str">
        <f>IF(I78&gt;=7500,"E",IF(I78&gt;=6800,"D",IF(I78&gt;=4200,"C",IF(I78&gt;=3000,"B",IF(I78&gt;=750,"A","Below Slab")))))</f>
        <v>E</v>
      </c>
      <c r="AB78" s="19" t="str">
        <f>IF(I78&gt;=7500,"Samsung front-load washing machine",IF(I78&gt;=6800,"Apple iPad",IF(I78&gt;=4200,"Robot Vacuum cleaner",IF(I78&gt;=3000,"Sony - sound bar, woofer and speakers",IF(I78&gt;=750,"Foot massager","Not eligible")))))</f>
        <v>Samsung front-load washing machine</v>
      </c>
    </row>
    <row r="79" spans="1:28" customFormat="1">
      <c r="A79" s="1" t="s">
        <v>315</v>
      </c>
      <c r="B79" s="21" t="s">
        <v>316</v>
      </c>
      <c r="C79" s="21" t="s">
        <v>39</v>
      </c>
      <c r="D79" s="1" t="s">
        <v>18</v>
      </c>
      <c r="E79" s="1" t="s">
        <v>314</v>
      </c>
      <c r="F79" s="1" t="s">
        <v>115</v>
      </c>
      <c r="G79" s="1" t="s">
        <v>9</v>
      </c>
      <c r="H79" s="23">
        <v>352.77000000000004</v>
      </c>
      <c r="I79" s="23">
        <v>13228.875000000004</v>
      </c>
      <c r="J79" s="2" t="str">
        <f t="shared" si="2"/>
        <v/>
      </c>
      <c r="K79" s="2" t="str">
        <f>IF(J79="","",I79-J79)</f>
        <v/>
      </c>
      <c r="L79" s="1" t="s">
        <v>81</v>
      </c>
      <c r="M79" s="12"/>
      <c r="N79" s="12"/>
      <c r="O79" s="12"/>
      <c r="P79" s="12"/>
      <c r="Q79" s="12"/>
      <c r="R79" s="12"/>
      <c r="S79" s="12"/>
      <c r="T79" s="12">
        <f>IF(M79="",0,INDEX(Sheet2!A$2:A$6,MATCH(M79,Sheet2!C$2:C$6,0)))</f>
        <v>0</v>
      </c>
      <c r="U79" s="12">
        <f>IF(N79="",0,INDEX(Sheet2!A$2:A$6,MATCH(N79,Sheet2!C$2:C$6,0)))</f>
        <v>0</v>
      </c>
      <c r="V79" s="12">
        <f>IF(O79="",0,INDEX(Sheet2!A$2:A$6,MATCH(O79,Sheet2!C$2:C$6,0)))</f>
        <v>0</v>
      </c>
      <c r="W79" s="12">
        <f>IF(P79="",0,INDEX(Sheet2!A$2:A$6,MATCH(P79,Sheet2!C$2:C$6,0)))</f>
        <v>0</v>
      </c>
      <c r="X79" s="12">
        <f>IF(Q79="",0,INDEX(Sheet2!A$2:A$6,MATCH(Q79,Sheet2!C$2:C$6,0)))</f>
        <v>0</v>
      </c>
      <c r="Y79" s="12">
        <f>IF(R79="",0,INDEX(Sheet2!A$2:A$6,MATCH(R79,Sheet2!C$2:C$6,0)))</f>
        <v>0</v>
      </c>
      <c r="Z79" s="12">
        <f t="shared" si="3"/>
        <v>0</v>
      </c>
      <c r="AA79" s="12" t="str">
        <f>IF(I79&gt;=7500,"E",IF(I79&gt;=6800,"D",IF(I79&gt;=4200,"C",IF(I79&gt;=3000,"B",IF(I79&gt;=750,"A","Below Slab")))))</f>
        <v>E</v>
      </c>
      <c r="AB79" s="19" t="str">
        <f>IF(I79&gt;=7500,"Samsung front-load washing machine",IF(I79&gt;=6800,"Apple iPad",IF(I79&gt;=4200,"Robot Vacuum cleaner",IF(I79&gt;=3000,"Sony - sound bar, woofer and speakers",IF(I79&gt;=750,"Foot massager","Not eligible")))))</f>
        <v>Samsung front-load washing machine</v>
      </c>
    </row>
    <row r="80" spans="1:28" customFormat="1">
      <c r="A80" s="1" t="s">
        <v>317</v>
      </c>
      <c r="B80" s="21" t="s">
        <v>318</v>
      </c>
      <c r="C80" s="21" t="s">
        <v>39</v>
      </c>
      <c r="D80" s="1" t="s">
        <v>18</v>
      </c>
      <c r="E80" s="1" t="s">
        <v>319</v>
      </c>
      <c r="F80" s="1" t="s">
        <v>115</v>
      </c>
      <c r="G80" s="1" t="s">
        <v>9</v>
      </c>
      <c r="H80" s="23">
        <v>236.96999999999997</v>
      </c>
      <c r="I80" s="23">
        <v>8886.3749999999982</v>
      </c>
      <c r="J80" s="2" t="str">
        <f t="shared" si="2"/>
        <v/>
      </c>
      <c r="K80" s="2" t="str">
        <f>IF(J80="","",I80-J80)</f>
        <v/>
      </c>
      <c r="L80" s="1" t="s">
        <v>81</v>
      </c>
      <c r="M80" s="12"/>
      <c r="N80" s="12"/>
      <c r="O80" s="12"/>
      <c r="P80" s="12"/>
      <c r="Q80" s="12"/>
      <c r="R80" s="12"/>
      <c r="S80" s="12"/>
      <c r="T80" s="12">
        <f>IF(M80="",0,INDEX(Sheet2!A$2:A$6,MATCH(M80,Sheet2!C$2:C$6,0)))</f>
        <v>0</v>
      </c>
      <c r="U80" s="12">
        <f>IF(N80="",0,INDEX(Sheet2!A$2:A$6,MATCH(N80,Sheet2!C$2:C$6,0)))</f>
        <v>0</v>
      </c>
      <c r="V80" s="12">
        <f>IF(O80="",0,INDEX(Sheet2!A$2:A$6,MATCH(O80,Sheet2!C$2:C$6,0)))</f>
        <v>0</v>
      </c>
      <c r="W80" s="12">
        <f>IF(P80="",0,INDEX(Sheet2!A$2:A$6,MATCH(P80,Sheet2!C$2:C$6,0)))</f>
        <v>0</v>
      </c>
      <c r="X80" s="12">
        <f>IF(Q80="",0,INDEX(Sheet2!A$2:A$6,MATCH(Q80,Sheet2!C$2:C$6,0)))</f>
        <v>0</v>
      </c>
      <c r="Y80" s="12">
        <f>IF(R80="",0,INDEX(Sheet2!A$2:A$6,MATCH(R80,Sheet2!C$2:C$6,0)))</f>
        <v>0</v>
      </c>
      <c r="Z80" s="12">
        <f t="shared" si="3"/>
        <v>0</v>
      </c>
      <c r="AA80" s="12" t="str">
        <f>IF(I80&gt;=7500,"E",IF(I80&gt;=6800,"D",IF(I80&gt;=4200,"C",IF(I80&gt;=3000,"B",IF(I80&gt;=750,"A","Below Slab")))))</f>
        <v>E</v>
      </c>
      <c r="AB80" s="19" t="str">
        <f>IF(I80&gt;=7500,"Samsung front-load washing machine",IF(I80&gt;=6800,"Apple iPad",IF(I80&gt;=4200,"Robot Vacuum cleaner",IF(I80&gt;=3000,"Sony - sound bar, woofer and speakers",IF(I80&gt;=750,"Foot massager","Not eligible")))))</f>
        <v>Samsung front-load washing machine</v>
      </c>
    </row>
    <row r="81" spans="1:28" customFormat="1">
      <c r="A81" s="1" t="s">
        <v>320</v>
      </c>
      <c r="B81" s="21" t="s">
        <v>321</v>
      </c>
      <c r="C81" s="21" t="s">
        <v>39</v>
      </c>
      <c r="D81" s="1" t="s">
        <v>18</v>
      </c>
      <c r="E81" s="1" t="s">
        <v>322</v>
      </c>
      <c r="F81" s="1" t="s">
        <v>115</v>
      </c>
      <c r="G81" s="1" t="s">
        <v>9</v>
      </c>
      <c r="H81" s="23">
        <v>208.12</v>
      </c>
      <c r="I81" s="23">
        <v>7804.5</v>
      </c>
      <c r="J81" s="2" t="str">
        <f t="shared" si="2"/>
        <v/>
      </c>
      <c r="K81" s="2" t="str">
        <f>IF(J81="","",I81-J81)</f>
        <v/>
      </c>
      <c r="L81" s="1" t="s">
        <v>81</v>
      </c>
      <c r="M81" s="12"/>
      <c r="N81" s="12"/>
      <c r="O81" s="12"/>
      <c r="P81" s="12"/>
      <c r="Q81" s="12"/>
      <c r="R81" s="12"/>
      <c r="S81" s="12"/>
      <c r="T81" s="12">
        <f>IF(M81="",0,INDEX(Sheet2!A$2:A$6,MATCH(M81,Sheet2!C$2:C$6,0)))</f>
        <v>0</v>
      </c>
      <c r="U81" s="12">
        <f>IF(N81="",0,INDEX(Sheet2!A$2:A$6,MATCH(N81,Sheet2!C$2:C$6,0)))</f>
        <v>0</v>
      </c>
      <c r="V81" s="12">
        <f>IF(O81="",0,INDEX(Sheet2!A$2:A$6,MATCH(O81,Sheet2!C$2:C$6,0)))</f>
        <v>0</v>
      </c>
      <c r="W81" s="12">
        <f>IF(P81="",0,INDEX(Sheet2!A$2:A$6,MATCH(P81,Sheet2!C$2:C$6,0)))</f>
        <v>0</v>
      </c>
      <c r="X81" s="12">
        <f>IF(Q81="",0,INDEX(Sheet2!A$2:A$6,MATCH(Q81,Sheet2!C$2:C$6,0)))</f>
        <v>0</v>
      </c>
      <c r="Y81" s="12">
        <f>IF(R81="",0,INDEX(Sheet2!A$2:A$6,MATCH(R81,Sheet2!C$2:C$6,0)))</f>
        <v>0</v>
      </c>
      <c r="Z81" s="12">
        <f t="shared" si="3"/>
        <v>0</v>
      </c>
      <c r="AA81" s="12" t="str">
        <f>IF(I81&gt;=7500,"E",IF(I81&gt;=6800,"D",IF(I81&gt;=4200,"C",IF(I81&gt;=3000,"B",IF(I81&gt;=750,"A","Below Slab")))))</f>
        <v>E</v>
      </c>
      <c r="AB81" s="19" t="str">
        <f>IF(I81&gt;=7500,"Samsung front-load washing machine",IF(I81&gt;=6800,"Apple iPad",IF(I81&gt;=4200,"Robot Vacuum cleaner",IF(I81&gt;=3000,"Sony - sound bar, woofer and speakers",IF(I81&gt;=750,"Foot massager","Not eligible")))))</f>
        <v>Samsung front-load washing machine</v>
      </c>
    </row>
    <row r="82" spans="1:28" customFormat="1">
      <c r="A82" s="1" t="s">
        <v>323</v>
      </c>
      <c r="B82" s="21" t="s">
        <v>324</v>
      </c>
      <c r="C82" s="21" t="s">
        <v>39</v>
      </c>
      <c r="D82" s="1" t="s">
        <v>18</v>
      </c>
      <c r="E82" s="1" t="s">
        <v>319</v>
      </c>
      <c r="F82" s="1" t="s">
        <v>115</v>
      </c>
      <c r="G82" s="1" t="s">
        <v>9</v>
      </c>
      <c r="H82" s="23">
        <v>286.86</v>
      </c>
      <c r="I82" s="23">
        <v>10757.25</v>
      </c>
      <c r="J82" s="2" t="str">
        <f t="shared" si="2"/>
        <v/>
      </c>
      <c r="K82" s="2" t="str">
        <f>IF(J82="","",I82-J82)</f>
        <v/>
      </c>
      <c r="L82" s="1" t="s">
        <v>81</v>
      </c>
      <c r="M82" s="12"/>
      <c r="N82" s="12"/>
      <c r="O82" s="12"/>
      <c r="P82" s="12"/>
      <c r="Q82" s="12"/>
      <c r="R82" s="12"/>
      <c r="S82" s="12"/>
      <c r="T82" s="12">
        <f>IF(M82="",0,INDEX(Sheet2!A$2:A$6,MATCH(M82,Sheet2!C$2:C$6,0)))</f>
        <v>0</v>
      </c>
      <c r="U82" s="12">
        <f>IF(N82="",0,INDEX(Sheet2!A$2:A$6,MATCH(N82,Sheet2!C$2:C$6,0)))</f>
        <v>0</v>
      </c>
      <c r="V82" s="12">
        <f>IF(O82="",0,INDEX(Sheet2!A$2:A$6,MATCH(O82,Sheet2!C$2:C$6,0)))</f>
        <v>0</v>
      </c>
      <c r="W82" s="12">
        <f>IF(P82="",0,INDEX(Sheet2!A$2:A$6,MATCH(P82,Sheet2!C$2:C$6,0)))</f>
        <v>0</v>
      </c>
      <c r="X82" s="12">
        <f>IF(Q82="",0,INDEX(Sheet2!A$2:A$6,MATCH(Q82,Sheet2!C$2:C$6,0)))</f>
        <v>0</v>
      </c>
      <c r="Y82" s="12">
        <f>IF(R82="",0,INDEX(Sheet2!A$2:A$6,MATCH(R82,Sheet2!C$2:C$6,0)))</f>
        <v>0</v>
      </c>
      <c r="Z82" s="12">
        <f t="shared" si="3"/>
        <v>0</v>
      </c>
      <c r="AA82" s="12" t="str">
        <f>IF(I82&gt;=7500,"E",IF(I82&gt;=6800,"D",IF(I82&gt;=4200,"C",IF(I82&gt;=3000,"B",IF(I82&gt;=750,"A","Below Slab")))))</f>
        <v>E</v>
      </c>
      <c r="AB82" s="19" t="str">
        <f>IF(I82&gt;=7500,"Samsung front-load washing machine",IF(I82&gt;=6800,"Apple iPad",IF(I82&gt;=4200,"Robot Vacuum cleaner",IF(I82&gt;=3000,"Sony - sound bar, woofer and speakers",IF(I82&gt;=750,"Foot massager","Not eligible")))))</f>
        <v>Samsung front-load washing machine</v>
      </c>
    </row>
    <row r="83" spans="1:28" customFormat="1">
      <c r="A83" s="1" t="s">
        <v>325</v>
      </c>
      <c r="B83" s="21" t="s">
        <v>326</v>
      </c>
      <c r="C83" s="21" t="s">
        <v>39</v>
      </c>
      <c r="D83" s="1" t="s">
        <v>18</v>
      </c>
      <c r="E83" s="1" t="s">
        <v>327</v>
      </c>
      <c r="F83" s="1" t="s">
        <v>115</v>
      </c>
      <c r="G83" s="1" t="s">
        <v>9</v>
      </c>
      <c r="H83" s="23">
        <v>378.74</v>
      </c>
      <c r="I83" s="23">
        <v>14202.75</v>
      </c>
      <c r="J83" s="2" t="str">
        <f t="shared" si="2"/>
        <v/>
      </c>
      <c r="K83" s="2" t="str">
        <f>IF(J83="","",I83-J83)</f>
        <v/>
      </c>
      <c r="L83" s="1" t="s">
        <v>81</v>
      </c>
      <c r="M83" s="12"/>
      <c r="N83" s="12"/>
      <c r="O83" s="12"/>
      <c r="P83" s="12"/>
      <c r="Q83" s="12"/>
      <c r="R83" s="12"/>
      <c r="S83" s="12"/>
      <c r="T83" s="12">
        <f>IF(M83="",0,INDEX(Sheet2!A$2:A$6,MATCH(M83,Sheet2!C$2:C$6,0)))</f>
        <v>0</v>
      </c>
      <c r="U83" s="12">
        <f>IF(N83="",0,INDEX(Sheet2!A$2:A$6,MATCH(N83,Sheet2!C$2:C$6,0)))</f>
        <v>0</v>
      </c>
      <c r="V83" s="12">
        <f>IF(O83="",0,INDEX(Sheet2!A$2:A$6,MATCH(O83,Sheet2!C$2:C$6,0)))</f>
        <v>0</v>
      </c>
      <c r="W83" s="12">
        <f>IF(P83="",0,INDEX(Sheet2!A$2:A$6,MATCH(P83,Sheet2!C$2:C$6,0)))</f>
        <v>0</v>
      </c>
      <c r="X83" s="12">
        <f>IF(Q83="",0,INDEX(Sheet2!A$2:A$6,MATCH(Q83,Sheet2!C$2:C$6,0)))</f>
        <v>0</v>
      </c>
      <c r="Y83" s="12">
        <f>IF(R83="",0,INDEX(Sheet2!A$2:A$6,MATCH(R83,Sheet2!C$2:C$6,0)))</f>
        <v>0</v>
      </c>
      <c r="Z83" s="12">
        <f t="shared" si="3"/>
        <v>0</v>
      </c>
      <c r="AA83" s="12" t="str">
        <f>IF(I83&gt;=7500,"E",IF(I83&gt;=6800,"D",IF(I83&gt;=4200,"C",IF(I83&gt;=3000,"B",IF(I83&gt;=750,"A","Below Slab")))))</f>
        <v>E</v>
      </c>
      <c r="AB83" s="19" t="str">
        <f>IF(I83&gt;=7500,"Samsung front-load washing machine",IF(I83&gt;=6800,"Apple iPad",IF(I83&gt;=4200,"Robot Vacuum cleaner",IF(I83&gt;=3000,"Sony - sound bar, woofer and speakers",IF(I83&gt;=750,"Foot massager","Not eligible")))))</f>
        <v>Samsung front-load washing machine</v>
      </c>
    </row>
    <row r="84" spans="1:28" customFormat="1">
      <c r="A84" s="1" t="s">
        <v>328</v>
      </c>
      <c r="B84" s="21" t="s">
        <v>329</v>
      </c>
      <c r="C84" s="21" t="s">
        <v>39</v>
      </c>
      <c r="D84" s="1" t="s">
        <v>18</v>
      </c>
      <c r="E84" s="1" t="s">
        <v>319</v>
      </c>
      <c r="F84" s="1" t="s">
        <v>115</v>
      </c>
      <c r="G84" s="1" t="s">
        <v>9</v>
      </c>
      <c r="H84" s="23">
        <v>144.85000000000002</v>
      </c>
      <c r="I84" s="23">
        <v>4345.5</v>
      </c>
      <c r="J84" s="2" t="str">
        <f t="shared" si="2"/>
        <v/>
      </c>
      <c r="K84" s="2" t="str">
        <f>IF(J84="","",I84-J84)</f>
        <v/>
      </c>
      <c r="L84" s="1" t="s">
        <v>77</v>
      </c>
      <c r="M84" s="12"/>
      <c r="N84" s="12"/>
      <c r="O84" s="12"/>
      <c r="P84" s="12"/>
      <c r="Q84" s="12"/>
      <c r="R84" s="12"/>
      <c r="S84" s="12"/>
      <c r="T84" s="12">
        <f>IF(M84="",0,INDEX(Sheet2!A$2:A$6,MATCH(M84,Sheet2!C$2:C$6,0)))</f>
        <v>0</v>
      </c>
      <c r="U84" s="12">
        <f>IF(N84="",0,INDEX(Sheet2!A$2:A$6,MATCH(N84,Sheet2!C$2:C$6,0)))</f>
        <v>0</v>
      </c>
      <c r="V84" s="12">
        <f>IF(O84="",0,INDEX(Sheet2!A$2:A$6,MATCH(O84,Sheet2!C$2:C$6,0)))</f>
        <v>0</v>
      </c>
      <c r="W84" s="12">
        <f>IF(P84="",0,INDEX(Sheet2!A$2:A$6,MATCH(P84,Sheet2!C$2:C$6,0)))</f>
        <v>0</v>
      </c>
      <c r="X84" s="12">
        <f>IF(Q84="",0,INDEX(Sheet2!A$2:A$6,MATCH(Q84,Sheet2!C$2:C$6,0)))</f>
        <v>0</v>
      </c>
      <c r="Y84" s="12">
        <f>IF(R84="",0,INDEX(Sheet2!A$2:A$6,MATCH(R84,Sheet2!C$2:C$6,0)))</f>
        <v>0</v>
      </c>
      <c r="Z84" s="12">
        <f t="shared" si="3"/>
        <v>0</v>
      </c>
      <c r="AA84" s="12" t="str">
        <f>IF(I84&gt;=7500,"E",IF(I84&gt;=6800,"D",IF(I84&gt;=4200,"C",IF(I84&gt;=3000,"B",IF(I84&gt;=750,"A","Below Slab")))))</f>
        <v>C</v>
      </c>
      <c r="AB84" s="19" t="str">
        <f>IF(I84&gt;=7500,"Samsung front-load washing machine",IF(I84&gt;=6800,"Apple iPad",IF(I84&gt;=4200,"Robot Vacuum cleaner",IF(I84&gt;=3000,"Sony - sound bar, woofer and speakers",IF(I84&gt;=750,"Foot massager","Not eligible")))))</f>
        <v>Robot Vacuum cleaner</v>
      </c>
    </row>
    <row r="85" spans="1:28" customFormat="1">
      <c r="A85" s="1" t="s">
        <v>330</v>
      </c>
      <c r="B85" s="21" t="s">
        <v>331</v>
      </c>
      <c r="C85" s="21" t="s">
        <v>39</v>
      </c>
      <c r="D85" s="1" t="s">
        <v>18</v>
      </c>
      <c r="E85" s="1" t="s">
        <v>314</v>
      </c>
      <c r="F85" s="1" t="s">
        <v>115</v>
      </c>
      <c r="G85" s="1" t="s">
        <v>9</v>
      </c>
      <c r="H85" s="23">
        <v>202.97</v>
      </c>
      <c r="I85" s="23">
        <v>7611.375</v>
      </c>
      <c r="J85" s="2" t="str">
        <f t="shared" si="2"/>
        <v/>
      </c>
      <c r="K85" s="2" t="str">
        <f>IF(J85="","",I85-J85)</f>
        <v/>
      </c>
      <c r="L85" s="1" t="s">
        <v>81</v>
      </c>
      <c r="M85" s="12"/>
      <c r="N85" s="12"/>
      <c r="O85" s="12"/>
      <c r="P85" s="12"/>
      <c r="Q85" s="12"/>
      <c r="R85" s="12"/>
      <c r="S85" s="12"/>
      <c r="T85" s="12">
        <f>IF(M85="",0,INDEX(Sheet2!A$2:A$6,MATCH(M85,Sheet2!C$2:C$6,0)))</f>
        <v>0</v>
      </c>
      <c r="U85" s="12">
        <f>IF(N85="",0,INDEX(Sheet2!A$2:A$6,MATCH(N85,Sheet2!C$2:C$6,0)))</f>
        <v>0</v>
      </c>
      <c r="V85" s="12">
        <f>IF(O85="",0,INDEX(Sheet2!A$2:A$6,MATCH(O85,Sheet2!C$2:C$6,0)))</f>
        <v>0</v>
      </c>
      <c r="W85" s="12">
        <f>IF(P85="",0,INDEX(Sheet2!A$2:A$6,MATCH(P85,Sheet2!C$2:C$6,0)))</f>
        <v>0</v>
      </c>
      <c r="X85" s="12">
        <f>IF(Q85="",0,INDEX(Sheet2!A$2:A$6,MATCH(Q85,Sheet2!C$2:C$6,0)))</f>
        <v>0</v>
      </c>
      <c r="Y85" s="12">
        <f>IF(R85="",0,INDEX(Sheet2!A$2:A$6,MATCH(R85,Sheet2!C$2:C$6,0)))</f>
        <v>0</v>
      </c>
      <c r="Z85" s="12">
        <f t="shared" si="3"/>
        <v>0</v>
      </c>
      <c r="AA85" s="12" t="str">
        <f>IF(I85&gt;=7500,"E",IF(I85&gt;=6800,"D",IF(I85&gt;=4200,"C",IF(I85&gt;=3000,"B",IF(I85&gt;=750,"A","Below Slab")))))</f>
        <v>E</v>
      </c>
      <c r="AB85" s="19" t="str">
        <f>IF(I85&gt;=7500,"Samsung front-load washing machine",IF(I85&gt;=6800,"Apple iPad",IF(I85&gt;=4200,"Robot Vacuum cleaner",IF(I85&gt;=3000,"Sony - sound bar, woofer and speakers",IF(I85&gt;=750,"Foot massager","Not eligible")))))</f>
        <v>Samsung front-load washing machine</v>
      </c>
    </row>
    <row r="86" spans="1:28" customFormat="1">
      <c r="A86" s="1" t="s">
        <v>332</v>
      </c>
      <c r="B86" s="21" t="s">
        <v>333</v>
      </c>
      <c r="C86" s="21" t="s">
        <v>39</v>
      </c>
      <c r="D86" s="1" t="s">
        <v>18</v>
      </c>
      <c r="E86" s="1" t="s">
        <v>314</v>
      </c>
      <c r="F86" s="1" t="s">
        <v>115</v>
      </c>
      <c r="G86" s="1" t="s">
        <v>9</v>
      </c>
      <c r="H86" s="23">
        <v>201.53</v>
      </c>
      <c r="I86" s="23">
        <v>7557.375</v>
      </c>
      <c r="J86" s="2" t="str">
        <f t="shared" si="2"/>
        <v/>
      </c>
      <c r="K86" s="2" t="str">
        <f>IF(J86="","",I86-J86)</f>
        <v/>
      </c>
      <c r="L86" s="1" t="s">
        <v>81</v>
      </c>
      <c r="M86" s="12"/>
      <c r="N86" s="12"/>
      <c r="O86" s="12"/>
      <c r="P86" s="12"/>
      <c r="Q86" s="12"/>
      <c r="R86" s="12"/>
      <c r="S86" s="12"/>
      <c r="T86" s="12">
        <f>IF(M86="",0,INDEX(Sheet2!A$2:A$6,MATCH(M86,Sheet2!C$2:C$6,0)))</f>
        <v>0</v>
      </c>
      <c r="U86" s="12">
        <f>IF(N86="",0,INDEX(Sheet2!A$2:A$6,MATCH(N86,Sheet2!C$2:C$6,0)))</f>
        <v>0</v>
      </c>
      <c r="V86" s="12">
        <f>IF(O86="",0,INDEX(Sheet2!A$2:A$6,MATCH(O86,Sheet2!C$2:C$6,0)))</f>
        <v>0</v>
      </c>
      <c r="W86" s="12">
        <f>IF(P86="",0,INDEX(Sheet2!A$2:A$6,MATCH(P86,Sheet2!C$2:C$6,0)))</f>
        <v>0</v>
      </c>
      <c r="X86" s="12">
        <f>IF(Q86="",0,INDEX(Sheet2!A$2:A$6,MATCH(Q86,Sheet2!C$2:C$6,0)))</f>
        <v>0</v>
      </c>
      <c r="Y86" s="12">
        <f>IF(R86="",0,INDEX(Sheet2!A$2:A$6,MATCH(R86,Sheet2!C$2:C$6,0)))</f>
        <v>0</v>
      </c>
      <c r="Z86" s="12">
        <f t="shared" si="3"/>
        <v>0</v>
      </c>
      <c r="AA86" s="12" t="str">
        <f>IF(I86&gt;=7500,"E",IF(I86&gt;=6800,"D",IF(I86&gt;=4200,"C",IF(I86&gt;=3000,"B",IF(I86&gt;=750,"A","Below Slab")))))</f>
        <v>E</v>
      </c>
      <c r="AB86" s="19" t="str">
        <f>IF(I86&gt;=7500,"Samsung front-load washing machine",IF(I86&gt;=6800,"Apple iPad",IF(I86&gt;=4200,"Robot Vacuum cleaner",IF(I86&gt;=3000,"Sony - sound bar, woofer and speakers",IF(I86&gt;=750,"Foot massager","Not eligible")))))</f>
        <v>Samsung front-load washing machine</v>
      </c>
    </row>
    <row r="87" spans="1:28" customFormat="1">
      <c r="A87" s="1" t="s">
        <v>334</v>
      </c>
      <c r="B87" s="21" t="s">
        <v>335</v>
      </c>
      <c r="C87" s="21" t="s">
        <v>39</v>
      </c>
      <c r="D87" s="1" t="s">
        <v>18</v>
      </c>
      <c r="E87" s="1" t="s">
        <v>319</v>
      </c>
      <c r="F87" s="1" t="s">
        <v>115</v>
      </c>
      <c r="G87" s="1" t="s">
        <v>9</v>
      </c>
      <c r="H87" s="23">
        <v>88.46</v>
      </c>
      <c r="I87" s="23">
        <v>2432.65</v>
      </c>
      <c r="J87" s="2" t="str">
        <f t="shared" si="2"/>
        <v/>
      </c>
      <c r="K87" s="2" t="str">
        <f>IF(J87="","",I87-J87)</f>
        <v/>
      </c>
      <c r="L87" s="1" t="s">
        <v>73</v>
      </c>
      <c r="M87" s="12"/>
      <c r="N87" s="12"/>
      <c r="O87" s="12"/>
      <c r="P87" s="12"/>
      <c r="Q87" s="12"/>
      <c r="R87" s="12"/>
      <c r="S87" s="12"/>
      <c r="T87" s="12">
        <f>IF(M87="",0,INDEX(Sheet2!A$2:A$6,MATCH(M87,Sheet2!C$2:C$6,0)))</f>
        <v>0</v>
      </c>
      <c r="U87" s="12">
        <f>IF(N87="",0,INDEX(Sheet2!A$2:A$6,MATCH(N87,Sheet2!C$2:C$6,0)))</f>
        <v>0</v>
      </c>
      <c r="V87" s="12">
        <f>IF(O87="",0,INDEX(Sheet2!A$2:A$6,MATCH(O87,Sheet2!C$2:C$6,0)))</f>
        <v>0</v>
      </c>
      <c r="W87" s="12">
        <f>IF(P87="",0,INDEX(Sheet2!A$2:A$6,MATCH(P87,Sheet2!C$2:C$6,0)))</f>
        <v>0</v>
      </c>
      <c r="X87" s="12">
        <f>IF(Q87="",0,INDEX(Sheet2!A$2:A$6,MATCH(Q87,Sheet2!C$2:C$6,0)))</f>
        <v>0</v>
      </c>
      <c r="Y87" s="12">
        <f>IF(R87="",0,INDEX(Sheet2!A$2:A$6,MATCH(R87,Sheet2!C$2:C$6,0)))</f>
        <v>0</v>
      </c>
      <c r="Z87" s="12">
        <f t="shared" si="3"/>
        <v>0</v>
      </c>
      <c r="AA87" s="12" t="str">
        <f>IF(I87&gt;=7500,"E",IF(I87&gt;=6800,"D",IF(I87&gt;=4200,"C",IF(I87&gt;=3000,"B",IF(I87&gt;=750,"A","Below Slab")))))</f>
        <v>A</v>
      </c>
      <c r="AB87" s="19" t="str">
        <f>IF(I87&gt;=7500,"Samsung front-load washing machine",IF(I87&gt;=6800,"Apple iPad",IF(I87&gt;=4200,"Robot Vacuum cleaner",IF(I87&gt;=3000,"Sony - sound bar, woofer and speakers",IF(I87&gt;=750,"Foot massager","Not eligible")))))</f>
        <v>Foot massager</v>
      </c>
    </row>
    <row r="88" spans="1:28" customFormat="1">
      <c r="A88" s="1" t="s">
        <v>336</v>
      </c>
      <c r="B88" s="21" t="s">
        <v>337</v>
      </c>
      <c r="C88" s="21" t="s">
        <v>39</v>
      </c>
      <c r="D88" s="1" t="s">
        <v>18</v>
      </c>
      <c r="E88" s="1" t="s">
        <v>338</v>
      </c>
      <c r="F88" s="1" t="s">
        <v>115</v>
      </c>
      <c r="G88" s="1" t="s">
        <v>9</v>
      </c>
      <c r="H88" s="23">
        <v>234.04</v>
      </c>
      <c r="I88" s="23">
        <v>8776.5</v>
      </c>
      <c r="J88" s="2" t="str">
        <f t="shared" si="2"/>
        <v/>
      </c>
      <c r="K88" s="2" t="str">
        <f>IF(J88="","",I88-J88)</f>
        <v/>
      </c>
      <c r="L88" s="1" t="s">
        <v>81</v>
      </c>
      <c r="M88" s="12"/>
      <c r="N88" s="12"/>
      <c r="O88" s="12"/>
      <c r="P88" s="12"/>
      <c r="Q88" s="12"/>
      <c r="R88" s="12"/>
      <c r="S88" s="12"/>
      <c r="T88" s="12">
        <f>IF(M88="",0,INDEX(Sheet2!A$2:A$6,MATCH(M88,Sheet2!C$2:C$6,0)))</f>
        <v>0</v>
      </c>
      <c r="U88" s="12">
        <f>IF(N88="",0,INDEX(Sheet2!A$2:A$6,MATCH(N88,Sheet2!C$2:C$6,0)))</f>
        <v>0</v>
      </c>
      <c r="V88" s="12">
        <f>IF(O88="",0,INDEX(Sheet2!A$2:A$6,MATCH(O88,Sheet2!C$2:C$6,0)))</f>
        <v>0</v>
      </c>
      <c r="W88" s="12">
        <f>IF(P88="",0,INDEX(Sheet2!A$2:A$6,MATCH(P88,Sheet2!C$2:C$6,0)))</f>
        <v>0</v>
      </c>
      <c r="X88" s="12">
        <f>IF(Q88="",0,INDEX(Sheet2!A$2:A$6,MATCH(Q88,Sheet2!C$2:C$6,0)))</f>
        <v>0</v>
      </c>
      <c r="Y88" s="12">
        <f>IF(R88="",0,INDEX(Sheet2!A$2:A$6,MATCH(R88,Sheet2!C$2:C$6,0)))</f>
        <v>0</v>
      </c>
      <c r="Z88" s="12">
        <f t="shared" si="3"/>
        <v>0</v>
      </c>
      <c r="AA88" s="12" t="str">
        <f>IF(I88&gt;=7500,"E",IF(I88&gt;=6800,"D",IF(I88&gt;=4200,"C",IF(I88&gt;=3000,"B",IF(I88&gt;=750,"A","Below Slab")))))</f>
        <v>E</v>
      </c>
      <c r="AB88" s="19" t="str">
        <f>IF(I88&gt;=7500,"Samsung front-load washing machine",IF(I88&gt;=6800,"Apple iPad",IF(I88&gt;=4200,"Robot Vacuum cleaner",IF(I88&gt;=3000,"Sony - sound bar, woofer and speakers",IF(I88&gt;=750,"Foot massager","Not eligible")))))</f>
        <v>Samsung front-load washing machine</v>
      </c>
    </row>
    <row r="89" spans="1:28" customFormat="1">
      <c r="A89" s="1" t="s">
        <v>339</v>
      </c>
      <c r="B89" s="21" t="s">
        <v>340</v>
      </c>
      <c r="C89" s="21" t="s">
        <v>39</v>
      </c>
      <c r="D89" s="1" t="s">
        <v>18</v>
      </c>
      <c r="E89" s="1" t="s">
        <v>319</v>
      </c>
      <c r="F89" s="1" t="s">
        <v>115</v>
      </c>
      <c r="G89" s="1" t="s">
        <v>9</v>
      </c>
      <c r="H89" s="23">
        <v>32.049999999999997</v>
      </c>
      <c r="I89" s="23">
        <v>801.24999999999989</v>
      </c>
      <c r="J89" s="2" t="str">
        <f t="shared" si="2"/>
        <v/>
      </c>
      <c r="K89" s="2" t="str">
        <f>IF(J89="","",I89-J89)</f>
        <v/>
      </c>
      <c r="L89" s="1" t="s">
        <v>73</v>
      </c>
      <c r="M89" s="12"/>
      <c r="N89" s="12"/>
      <c r="O89" s="12"/>
      <c r="P89" s="12"/>
      <c r="Q89" s="12"/>
      <c r="R89" s="12"/>
      <c r="S89" s="12"/>
      <c r="T89" s="12">
        <f>IF(M89="",0,INDEX(Sheet2!A$2:A$6,MATCH(M89,Sheet2!C$2:C$6,0)))</f>
        <v>0</v>
      </c>
      <c r="U89" s="12">
        <f>IF(N89="",0,INDEX(Sheet2!A$2:A$6,MATCH(N89,Sheet2!C$2:C$6,0)))</f>
        <v>0</v>
      </c>
      <c r="V89" s="12">
        <f>IF(O89="",0,INDEX(Sheet2!A$2:A$6,MATCH(O89,Sheet2!C$2:C$6,0)))</f>
        <v>0</v>
      </c>
      <c r="W89" s="12">
        <f>IF(P89="",0,INDEX(Sheet2!A$2:A$6,MATCH(P89,Sheet2!C$2:C$6,0)))</f>
        <v>0</v>
      </c>
      <c r="X89" s="12">
        <f>IF(Q89="",0,INDEX(Sheet2!A$2:A$6,MATCH(Q89,Sheet2!C$2:C$6,0)))</f>
        <v>0</v>
      </c>
      <c r="Y89" s="12">
        <f>IF(R89="",0,INDEX(Sheet2!A$2:A$6,MATCH(R89,Sheet2!C$2:C$6,0)))</f>
        <v>0</v>
      </c>
      <c r="Z89" s="12">
        <f t="shared" si="3"/>
        <v>0</v>
      </c>
      <c r="AA89" s="12" t="str">
        <f>IF(I89&gt;=7500,"E",IF(I89&gt;=6800,"D",IF(I89&gt;=4200,"C",IF(I89&gt;=3000,"B",IF(I89&gt;=750,"A","Below Slab")))))</f>
        <v>A</v>
      </c>
      <c r="AB89" s="19" t="str">
        <f>IF(I89&gt;=7500,"Samsung front-load washing machine",IF(I89&gt;=6800,"Apple iPad",IF(I89&gt;=4200,"Robot Vacuum cleaner",IF(I89&gt;=3000,"Sony - sound bar, woofer and speakers",IF(I89&gt;=750,"Foot massager","Not eligible")))))</f>
        <v>Foot massager</v>
      </c>
    </row>
    <row r="90" spans="1:28" customFormat="1">
      <c r="A90" s="1" t="s">
        <v>341</v>
      </c>
      <c r="B90" s="21" t="s">
        <v>342</v>
      </c>
      <c r="C90" s="21" t="s">
        <v>39</v>
      </c>
      <c r="D90" s="1" t="s">
        <v>18</v>
      </c>
      <c r="E90" s="1" t="s">
        <v>322</v>
      </c>
      <c r="F90" s="1" t="s">
        <v>115</v>
      </c>
      <c r="G90" s="1" t="s">
        <v>9</v>
      </c>
      <c r="H90" s="23">
        <v>226.95000000000002</v>
      </c>
      <c r="I90" s="23">
        <v>8510.625</v>
      </c>
      <c r="J90" s="2" t="str">
        <f t="shared" si="2"/>
        <v/>
      </c>
      <c r="K90" s="2" t="str">
        <f>IF(J90="","",I90-J90)</f>
        <v/>
      </c>
      <c r="L90" s="1" t="s">
        <v>81</v>
      </c>
      <c r="M90" s="12"/>
      <c r="N90" s="12"/>
      <c r="O90" s="12"/>
      <c r="P90" s="12"/>
      <c r="Q90" s="12"/>
      <c r="R90" s="12"/>
      <c r="S90" s="12"/>
      <c r="T90" s="12">
        <f>IF(M90="",0,INDEX(Sheet2!A$2:A$6,MATCH(M90,Sheet2!C$2:C$6,0)))</f>
        <v>0</v>
      </c>
      <c r="U90" s="12">
        <f>IF(N90="",0,INDEX(Sheet2!A$2:A$6,MATCH(N90,Sheet2!C$2:C$6,0)))</f>
        <v>0</v>
      </c>
      <c r="V90" s="12">
        <f>IF(O90="",0,INDEX(Sheet2!A$2:A$6,MATCH(O90,Sheet2!C$2:C$6,0)))</f>
        <v>0</v>
      </c>
      <c r="W90" s="12">
        <f>IF(P90="",0,INDEX(Sheet2!A$2:A$6,MATCH(P90,Sheet2!C$2:C$6,0)))</f>
        <v>0</v>
      </c>
      <c r="X90" s="12">
        <f>IF(Q90="",0,INDEX(Sheet2!A$2:A$6,MATCH(Q90,Sheet2!C$2:C$6,0)))</f>
        <v>0</v>
      </c>
      <c r="Y90" s="12">
        <f>IF(R90="",0,INDEX(Sheet2!A$2:A$6,MATCH(R90,Sheet2!C$2:C$6,0)))</f>
        <v>0</v>
      </c>
      <c r="Z90" s="12">
        <f t="shared" si="3"/>
        <v>0</v>
      </c>
      <c r="AA90" s="12" t="str">
        <f>IF(I90&gt;=7500,"E",IF(I90&gt;=6800,"D",IF(I90&gt;=4200,"C",IF(I90&gt;=3000,"B",IF(I90&gt;=750,"A","Below Slab")))))</f>
        <v>E</v>
      </c>
      <c r="AB90" s="19" t="str">
        <f>IF(I90&gt;=7500,"Samsung front-load washing machine",IF(I90&gt;=6800,"Apple iPad",IF(I90&gt;=4200,"Robot Vacuum cleaner",IF(I90&gt;=3000,"Sony - sound bar, woofer and speakers",IF(I90&gt;=750,"Foot massager","Not eligible")))))</f>
        <v>Samsung front-load washing machine</v>
      </c>
    </row>
    <row r="91" spans="1:28" customFormat="1">
      <c r="A91" s="1" t="s">
        <v>343</v>
      </c>
      <c r="B91" s="21" t="s">
        <v>344</v>
      </c>
      <c r="C91" s="21" t="s">
        <v>39</v>
      </c>
      <c r="D91" s="1" t="s">
        <v>18</v>
      </c>
      <c r="E91" s="1" t="s">
        <v>319</v>
      </c>
      <c r="F91" s="1" t="s">
        <v>115</v>
      </c>
      <c r="G91" s="1" t="s">
        <v>9</v>
      </c>
      <c r="H91" s="23">
        <v>202.58999999999997</v>
      </c>
      <c r="I91" s="23">
        <v>7597.1249999999982</v>
      </c>
      <c r="J91" s="2" t="str">
        <f t="shared" si="2"/>
        <v/>
      </c>
      <c r="K91" s="2" t="str">
        <f>IF(J91="","",I91-J91)</f>
        <v/>
      </c>
      <c r="L91" s="1" t="s">
        <v>81</v>
      </c>
      <c r="M91" s="12"/>
      <c r="N91" s="12"/>
      <c r="O91" s="12"/>
      <c r="P91" s="12"/>
      <c r="Q91" s="12"/>
      <c r="R91" s="12"/>
      <c r="S91" s="12"/>
      <c r="T91" s="12">
        <f>IF(M91="",0,INDEX(Sheet2!A$2:A$6,MATCH(M91,Sheet2!C$2:C$6,0)))</f>
        <v>0</v>
      </c>
      <c r="U91" s="12">
        <f>IF(N91="",0,INDEX(Sheet2!A$2:A$6,MATCH(N91,Sheet2!C$2:C$6,0)))</f>
        <v>0</v>
      </c>
      <c r="V91" s="12">
        <f>IF(O91="",0,INDEX(Sheet2!A$2:A$6,MATCH(O91,Sheet2!C$2:C$6,0)))</f>
        <v>0</v>
      </c>
      <c r="W91" s="12">
        <f>IF(P91="",0,INDEX(Sheet2!A$2:A$6,MATCH(P91,Sheet2!C$2:C$6,0)))</f>
        <v>0</v>
      </c>
      <c r="X91" s="12">
        <f>IF(Q91="",0,INDEX(Sheet2!A$2:A$6,MATCH(Q91,Sheet2!C$2:C$6,0)))</f>
        <v>0</v>
      </c>
      <c r="Y91" s="12">
        <f>IF(R91="",0,INDEX(Sheet2!A$2:A$6,MATCH(R91,Sheet2!C$2:C$6,0)))</f>
        <v>0</v>
      </c>
      <c r="Z91" s="12">
        <f t="shared" si="3"/>
        <v>0</v>
      </c>
      <c r="AA91" s="12" t="str">
        <f>IF(I91&gt;=7500,"E",IF(I91&gt;=6800,"D",IF(I91&gt;=4200,"C",IF(I91&gt;=3000,"B",IF(I91&gt;=750,"A","Below Slab")))))</f>
        <v>E</v>
      </c>
      <c r="AB91" s="19" t="str">
        <f>IF(I91&gt;=7500,"Samsung front-load washing machine",IF(I91&gt;=6800,"Apple iPad",IF(I91&gt;=4200,"Robot Vacuum cleaner",IF(I91&gt;=3000,"Sony - sound bar, woofer and speakers",IF(I91&gt;=750,"Foot massager","Not eligible")))))</f>
        <v>Samsung front-load washing machine</v>
      </c>
    </row>
    <row r="92" spans="1:28" customFormat="1">
      <c r="A92" s="1" t="s">
        <v>345</v>
      </c>
      <c r="B92" s="21" t="s">
        <v>346</v>
      </c>
      <c r="C92" s="21" t="s">
        <v>39</v>
      </c>
      <c r="D92" s="1" t="s">
        <v>18</v>
      </c>
      <c r="E92" s="1" t="s">
        <v>314</v>
      </c>
      <c r="F92" s="1" t="s">
        <v>115</v>
      </c>
      <c r="G92" s="1" t="s">
        <v>9</v>
      </c>
      <c r="H92" s="23">
        <v>264.13</v>
      </c>
      <c r="I92" s="23">
        <v>9904.875</v>
      </c>
      <c r="J92" s="2" t="str">
        <f t="shared" si="2"/>
        <v/>
      </c>
      <c r="K92" s="2" t="str">
        <f>IF(J92="","",I92-J92)</f>
        <v/>
      </c>
      <c r="L92" s="1" t="s">
        <v>81</v>
      </c>
      <c r="M92" s="12"/>
      <c r="N92" s="12"/>
      <c r="O92" s="12"/>
      <c r="P92" s="12"/>
      <c r="Q92" s="12"/>
      <c r="R92" s="12"/>
      <c r="S92" s="12"/>
      <c r="T92" s="12">
        <f>IF(M92="",0,INDEX(Sheet2!A$2:A$6,MATCH(M92,Sheet2!C$2:C$6,0)))</f>
        <v>0</v>
      </c>
      <c r="U92" s="12">
        <f>IF(N92="",0,INDEX(Sheet2!A$2:A$6,MATCH(N92,Sheet2!C$2:C$6,0)))</f>
        <v>0</v>
      </c>
      <c r="V92" s="12">
        <f>IF(O92="",0,INDEX(Sheet2!A$2:A$6,MATCH(O92,Sheet2!C$2:C$6,0)))</f>
        <v>0</v>
      </c>
      <c r="W92" s="12">
        <f>IF(P92="",0,INDEX(Sheet2!A$2:A$6,MATCH(P92,Sheet2!C$2:C$6,0)))</f>
        <v>0</v>
      </c>
      <c r="X92" s="12">
        <f>IF(Q92="",0,INDEX(Sheet2!A$2:A$6,MATCH(Q92,Sheet2!C$2:C$6,0)))</f>
        <v>0</v>
      </c>
      <c r="Y92" s="12">
        <f>IF(R92="",0,INDEX(Sheet2!A$2:A$6,MATCH(R92,Sheet2!C$2:C$6,0)))</f>
        <v>0</v>
      </c>
      <c r="Z92" s="12">
        <f t="shared" si="3"/>
        <v>0</v>
      </c>
      <c r="AA92" s="12" t="str">
        <f>IF(I92&gt;=7500,"E",IF(I92&gt;=6800,"D",IF(I92&gt;=4200,"C",IF(I92&gt;=3000,"B",IF(I92&gt;=750,"A","Below Slab")))))</f>
        <v>E</v>
      </c>
      <c r="AB92" s="19" t="str">
        <f>IF(I92&gt;=7500,"Samsung front-load washing machine",IF(I92&gt;=6800,"Apple iPad",IF(I92&gt;=4200,"Robot Vacuum cleaner",IF(I92&gt;=3000,"Sony - sound bar, woofer and speakers",IF(I92&gt;=750,"Foot massager","Not eligible")))))</f>
        <v>Samsung front-load washing machine</v>
      </c>
    </row>
    <row r="93" spans="1:28" customFormat="1">
      <c r="A93" s="1" t="s">
        <v>347</v>
      </c>
      <c r="B93" s="21" t="s">
        <v>348</v>
      </c>
      <c r="C93" s="21" t="s">
        <v>39</v>
      </c>
      <c r="D93" s="1" t="s">
        <v>18</v>
      </c>
      <c r="E93" s="1" t="s">
        <v>322</v>
      </c>
      <c r="F93" s="1" t="s">
        <v>115</v>
      </c>
      <c r="G93" s="1" t="s">
        <v>9</v>
      </c>
      <c r="H93" s="23">
        <v>224.01</v>
      </c>
      <c r="I93" s="23">
        <v>8400.375</v>
      </c>
      <c r="J93" s="2" t="str">
        <f t="shared" si="2"/>
        <v/>
      </c>
      <c r="K93" s="2" t="str">
        <f>IF(J93="","",I93-J93)</f>
        <v/>
      </c>
      <c r="L93" s="1" t="s">
        <v>81</v>
      </c>
      <c r="M93" s="12"/>
      <c r="N93" s="12"/>
      <c r="O93" s="12"/>
      <c r="P93" s="12"/>
      <c r="Q93" s="12"/>
      <c r="R93" s="12"/>
      <c r="S93" s="12"/>
      <c r="T93" s="12">
        <f>IF(M93="",0,INDEX(Sheet2!A$2:A$6,MATCH(M93,Sheet2!C$2:C$6,0)))</f>
        <v>0</v>
      </c>
      <c r="U93" s="12">
        <f>IF(N93="",0,INDEX(Sheet2!A$2:A$6,MATCH(N93,Sheet2!C$2:C$6,0)))</f>
        <v>0</v>
      </c>
      <c r="V93" s="12">
        <f>IF(O93="",0,INDEX(Sheet2!A$2:A$6,MATCH(O93,Sheet2!C$2:C$6,0)))</f>
        <v>0</v>
      </c>
      <c r="W93" s="12">
        <f>IF(P93="",0,INDEX(Sheet2!A$2:A$6,MATCH(P93,Sheet2!C$2:C$6,0)))</f>
        <v>0</v>
      </c>
      <c r="X93" s="12">
        <f>IF(Q93="",0,INDEX(Sheet2!A$2:A$6,MATCH(Q93,Sheet2!C$2:C$6,0)))</f>
        <v>0</v>
      </c>
      <c r="Y93" s="12">
        <f>IF(R93="",0,INDEX(Sheet2!A$2:A$6,MATCH(R93,Sheet2!C$2:C$6,0)))</f>
        <v>0</v>
      </c>
      <c r="Z93" s="12">
        <f t="shared" si="3"/>
        <v>0</v>
      </c>
      <c r="AA93" s="12" t="str">
        <f>IF(I93&gt;=7500,"E",IF(I93&gt;=6800,"D",IF(I93&gt;=4200,"C",IF(I93&gt;=3000,"B",IF(I93&gt;=750,"A","Below Slab")))))</f>
        <v>E</v>
      </c>
      <c r="AB93" s="19" t="str">
        <f>IF(I93&gt;=7500,"Samsung front-load washing machine",IF(I93&gt;=6800,"Apple iPad",IF(I93&gt;=4200,"Robot Vacuum cleaner",IF(I93&gt;=3000,"Sony - sound bar, woofer and speakers",IF(I93&gt;=750,"Foot massager","Not eligible")))))</f>
        <v>Samsung front-load washing machine</v>
      </c>
    </row>
    <row r="94" spans="1:28" customFormat="1">
      <c r="A94" s="1" t="s">
        <v>349</v>
      </c>
      <c r="B94" s="21" t="s">
        <v>329</v>
      </c>
      <c r="C94" s="21" t="s">
        <v>39</v>
      </c>
      <c r="D94" s="1" t="s">
        <v>18</v>
      </c>
      <c r="E94" s="1" t="s">
        <v>319</v>
      </c>
      <c r="F94" s="1" t="s">
        <v>115</v>
      </c>
      <c r="G94" s="1" t="s">
        <v>9</v>
      </c>
      <c r="H94" s="23">
        <v>200</v>
      </c>
      <c r="I94" s="23">
        <v>7500</v>
      </c>
      <c r="J94" s="2" t="str">
        <f t="shared" si="2"/>
        <v/>
      </c>
      <c r="K94" s="2" t="str">
        <f>IF(J94="","",I94-J94)</f>
        <v/>
      </c>
      <c r="L94" s="1" t="s">
        <v>81</v>
      </c>
      <c r="M94" s="12"/>
      <c r="N94" s="12"/>
      <c r="O94" s="12"/>
      <c r="P94" s="12"/>
      <c r="Q94" s="12"/>
      <c r="R94" s="12"/>
      <c r="S94" s="12"/>
      <c r="T94" s="12">
        <f>IF(M94="",0,INDEX(Sheet2!A$2:A$6,MATCH(M94,Sheet2!C$2:C$6,0)))</f>
        <v>0</v>
      </c>
      <c r="U94" s="12">
        <f>IF(N94="",0,INDEX(Sheet2!A$2:A$6,MATCH(N94,Sheet2!C$2:C$6,0)))</f>
        <v>0</v>
      </c>
      <c r="V94" s="12">
        <f>IF(O94="",0,INDEX(Sheet2!A$2:A$6,MATCH(O94,Sheet2!C$2:C$6,0)))</f>
        <v>0</v>
      </c>
      <c r="W94" s="12">
        <f>IF(P94="",0,INDEX(Sheet2!A$2:A$6,MATCH(P94,Sheet2!C$2:C$6,0)))</f>
        <v>0</v>
      </c>
      <c r="X94" s="12">
        <f>IF(Q94="",0,INDEX(Sheet2!A$2:A$6,MATCH(Q94,Sheet2!C$2:C$6,0)))</f>
        <v>0</v>
      </c>
      <c r="Y94" s="12">
        <f>IF(R94="",0,INDEX(Sheet2!A$2:A$6,MATCH(R94,Sheet2!C$2:C$6,0)))</f>
        <v>0</v>
      </c>
      <c r="Z94" s="12">
        <f t="shared" si="3"/>
        <v>0</v>
      </c>
      <c r="AA94" s="12" t="str">
        <f>IF(I94&gt;=7500,"E",IF(I94&gt;=6800,"D",IF(I94&gt;=4200,"C",IF(I94&gt;=3000,"B",IF(I94&gt;=750,"A","Below Slab")))))</f>
        <v>E</v>
      </c>
      <c r="AB94" s="19" t="str">
        <f>IF(I94&gt;=7500,"Samsung front-load washing machine",IF(I94&gt;=6800,"Apple iPad",IF(I94&gt;=4200,"Robot Vacuum cleaner",IF(I94&gt;=3000,"Sony - sound bar, woofer and speakers",IF(I94&gt;=750,"Foot massager","Not eligible")))))</f>
        <v>Samsung front-load washing machine</v>
      </c>
    </row>
    <row r="95" spans="1:28" customFormat="1">
      <c r="A95" s="1" t="s">
        <v>350</v>
      </c>
      <c r="B95" s="21" t="s">
        <v>351</v>
      </c>
      <c r="C95" s="21" t="s">
        <v>39</v>
      </c>
      <c r="D95" s="1" t="s">
        <v>18</v>
      </c>
      <c r="E95" s="1" t="s">
        <v>314</v>
      </c>
      <c r="F95" s="1" t="s">
        <v>115</v>
      </c>
      <c r="G95" s="1" t="s">
        <v>9</v>
      </c>
      <c r="H95" s="23">
        <v>152.11000000000001</v>
      </c>
      <c r="I95" s="23">
        <v>4943.5750000000007</v>
      </c>
      <c r="J95" s="2" t="str">
        <f t="shared" si="2"/>
        <v/>
      </c>
      <c r="K95" s="2" t="str">
        <f>IF(J95="","",I95-J95)</f>
        <v/>
      </c>
      <c r="L95" s="1" t="s">
        <v>77</v>
      </c>
      <c r="M95" s="12"/>
      <c r="N95" s="12"/>
      <c r="O95" s="12"/>
      <c r="P95" s="12"/>
      <c r="Q95" s="12"/>
      <c r="R95" s="12"/>
      <c r="S95" s="12"/>
      <c r="T95" s="12">
        <f>IF(M95="",0,INDEX(Sheet2!A$2:A$6,MATCH(M95,Sheet2!C$2:C$6,0)))</f>
        <v>0</v>
      </c>
      <c r="U95" s="12">
        <f>IF(N95="",0,INDEX(Sheet2!A$2:A$6,MATCH(N95,Sheet2!C$2:C$6,0)))</f>
        <v>0</v>
      </c>
      <c r="V95" s="12">
        <f>IF(O95="",0,INDEX(Sheet2!A$2:A$6,MATCH(O95,Sheet2!C$2:C$6,0)))</f>
        <v>0</v>
      </c>
      <c r="W95" s="12">
        <f>IF(P95="",0,INDEX(Sheet2!A$2:A$6,MATCH(P95,Sheet2!C$2:C$6,0)))</f>
        <v>0</v>
      </c>
      <c r="X95" s="12">
        <f>IF(Q95="",0,INDEX(Sheet2!A$2:A$6,MATCH(Q95,Sheet2!C$2:C$6,0)))</f>
        <v>0</v>
      </c>
      <c r="Y95" s="12">
        <f>IF(R95="",0,INDEX(Sheet2!A$2:A$6,MATCH(R95,Sheet2!C$2:C$6,0)))</f>
        <v>0</v>
      </c>
      <c r="Z95" s="12">
        <f t="shared" si="3"/>
        <v>0</v>
      </c>
      <c r="AA95" s="12" t="str">
        <f>IF(I95&gt;=7500,"E",IF(I95&gt;=6800,"D",IF(I95&gt;=4200,"C",IF(I95&gt;=3000,"B",IF(I95&gt;=750,"A","Below Slab")))))</f>
        <v>C</v>
      </c>
      <c r="AB95" s="19" t="str">
        <f>IF(I95&gt;=7500,"Samsung front-load washing machine",IF(I95&gt;=6800,"Apple iPad",IF(I95&gt;=4200,"Robot Vacuum cleaner",IF(I95&gt;=3000,"Sony - sound bar, woofer and speakers",IF(I95&gt;=750,"Foot massager","Not eligible")))))</f>
        <v>Robot Vacuum cleaner</v>
      </c>
    </row>
    <row r="96" spans="1:28" customFormat="1">
      <c r="A96" s="1" t="s">
        <v>352</v>
      </c>
      <c r="B96" s="21" t="s">
        <v>353</v>
      </c>
      <c r="C96" s="21" t="s">
        <v>39</v>
      </c>
      <c r="D96" s="1" t="s">
        <v>18</v>
      </c>
      <c r="E96" s="1" t="s">
        <v>354</v>
      </c>
      <c r="F96" s="1" t="s">
        <v>115</v>
      </c>
      <c r="G96" s="1" t="s">
        <v>9</v>
      </c>
      <c r="H96" s="23">
        <v>42.05</v>
      </c>
      <c r="I96" s="23">
        <v>1051.25</v>
      </c>
      <c r="J96" s="2" t="str">
        <f t="shared" si="2"/>
        <v/>
      </c>
      <c r="K96" s="2" t="str">
        <f>IF(J96="","",I96-J96)</f>
        <v/>
      </c>
      <c r="L96" s="1" t="s">
        <v>73</v>
      </c>
      <c r="M96" s="12"/>
      <c r="N96" s="12"/>
      <c r="O96" s="12"/>
      <c r="P96" s="12"/>
      <c r="Q96" s="12"/>
      <c r="R96" s="12"/>
      <c r="S96" s="12"/>
      <c r="T96" s="12">
        <f>IF(M96="",0,INDEX(Sheet2!A$2:A$6,MATCH(M96,Sheet2!C$2:C$6,0)))</f>
        <v>0</v>
      </c>
      <c r="U96" s="12">
        <f>IF(N96="",0,INDEX(Sheet2!A$2:A$6,MATCH(N96,Sheet2!C$2:C$6,0)))</f>
        <v>0</v>
      </c>
      <c r="V96" s="12">
        <f>IF(O96="",0,INDEX(Sheet2!A$2:A$6,MATCH(O96,Sheet2!C$2:C$6,0)))</f>
        <v>0</v>
      </c>
      <c r="W96" s="12">
        <f>IF(P96="",0,INDEX(Sheet2!A$2:A$6,MATCH(P96,Sheet2!C$2:C$6,0)))</f>
        <v>0</v>
      </c>
      <c r="X96" s="12">
        <f>IF(Q96="",0,INDEX(Sheet2!A$2:A$6,MATCH(Q96,Sheet2!C$2:C$6,0)))</f>
        <v>0</v>
      </c>
      <c r="Y96" s="12">
        <f>IF(R96="",0,INDEX(Sheet2!A$2:A$6,MATCH(R96,Sheet2!C$2:C$6,0)))</f>
        <v>0</v>
      </c>
      <c r="Z96" s="12">
        <f t="shared" si="3"/>
        <v>0</v>
      </c>
      <c r="AA96" s="12" t="str">
        <f>IF(I96&gt;=7500,"E",IF(I96&gt;=6800,"D",IF(I96&gt;=4200,"C",IF(I96&gt;=3000,"B",IF(I96&gt;=750,"A","Below Slab")))))</f>
        <v>A</v>
      </c>
      <c r="AB96" s="19" t="str">
        <f>IF(I96&gt;=7500,"Samsung front-load washing machine",IF(I96&gt;=6800,"Apple iPad",IF(I96&gt;=4200,"Robot Vacuum cleaner",IF(I96&gt;=3000,"Sony - sound bar, woofer and speakers",IF(I96&gt;=750,"Foot massager","Not eligible")))))</f>
        <v>Foot massager</v>
      </c>
    </row>
    <row r="97" spans="1:28" customFormat="1">
      <c r="A97" s="1" t="s">
        <v>355</v>
      </c>
      <c r="B97" s="21" t="s">
        <v>356</v>
      </c>
      <c r="C97" s="21" t="s">
        <v>39</v>
      </c>
      <c r="D97" s="1" t="s">
        <v>18</v>
      </c>
      <c r="E97" s="1" t="s">
        <v>314</v>
      </c>
      <c r="F97" s="1" t="s">
        <v>115</v>
      </c>
      <c r="G97" s="1" t="s">
        <v>9</v>
      </c>
      <c r="H97" s="23">
        <v>330.25</v>
      </c>
      <c r="I97" s="23">
        <v>12384.375</v>
      </c>
      <c r="J97" s="2" t="str">
        <f t="shared" si="2"/>
        <v/>
      </c>
      <c r="K97" s="2" t="str">
        <f>IF(J97="","",I97-J97)</f>
        <v/>
      </c>
      <c r="L97" s="1" t="s">
        <v>81</v>
      </c>
      <c r="M97" s="12"/>
      <c r="N97" s="12"/>
      <c r="O97" s="12"/>
      <c r="P97" s="12"/>
      <c r="Q97" s="12"/>
      <c r="R97" s="12"/>
      <c r="S97" s="12"/>
      <c r="T97" s="12">
        <f>IF(M97="",0,INDEX(Sheet2!A$2:A$6,MATCH(M97,Sheet2!C$2:C$6,0)))</f>
        <v>0</v>
      </c>
      <c r="U97" s="12">
        <f>IF(N97="",0,INDEX(Sheet2!A$2:A$6,MATCH(N97,Sheet2!C$2:C$6,0)))</f>
        <v>0</v>
      </c>
      <c r="V97" s="12">
        <f>IF(O97="",0,INDEX(Sheet2!A$2:A$6,MATCH(O97,Sheet2!C$2:C$6,0)))</f>
        <v>0</v>
      </c>
      <c r="W97" s="12">
        <f>IF(P97="",0,INDEX(Sheet2!A$2:A$6,MATCH(P97,Sheet2!C$2:C$6,0)))</f>
        <v>0</v>
      </c>
      <c r="X97" s="12">
        <f>IF(Q97="",0,INDEX(Sheet2!A$2:A$6,MATCH(Q97,Sheet2!C$2:C$6,0)))</f>
        <v>0</v>
      </c>
      <c r="Y97" s="12">
        <f>IF(R97="",0,INDEX(Sheet2!A$2:A$6,MATCH(R97,Sheet2!C$2:C$6,0)))</f>
        <v>0</v>
      </c>
      <c r="Z97" s="12">
        <f t="shared" si="3"/>
        <v>0</v>
      </c>
      <c r="AA97" s="12" t="str">
        <f>IF(I97&gt;=7500,"E",IF(I97&gt;=6800,"D",IF(I97&gt;=4200,"C",IF(I97&gt;=3000,"B",IF(I97&gt;=750,"A","Below Slab")))))</f>
        <v>E</v>
      </c>
      <c r="AB97" s="19" t="str">
        <f>IF(I97&gt;=7500,"Samsung front-load washing machine",IF(I97&gt;=6800,"Apple iPad",IF(I97&gt;=4200,"Robot Vacuum cleaner",IF(I97&gt;=3000,"Sony - sound bar, woofer and speakers",IF(I97&gt;=750,"Foot massager","Not eligible")))))</f>
        <v>Samsung front-load washing machine</v>
      </c>
    </row>
    <row r="98" spans="1:28" customFormat="1">
      <c r="A98" s="1" t="s">
        <v>357</v>
      </c>
      <c r="B98" s="21" t="s">
        <v>358</v>
      </c>
      <c r="C98" s="21" t="s">
        <v>39</v>
      </c>
      <c r="D98" s="1" t="s">
        <v>18</v>
      </c>
      <c r="E98" s="1" t="s">
        <v>314</v>
      </c>
      <c r="F98" s="1" t="s">
        <v>115</v>
      </c>
      <c r="G98" s="1" t="s">
        <v>9</v>
      </c>
      <c r="H98" s="23">
        <v>335.32</v>
      </c>
      <c r="I98" s="23">
        <v>12574.5</v>
      </c>
      <c r="J98" s="2" t="str">
        <f t="shared" si="2"/>
        <v/>
      </c>
      <c r="K98" s="2" t="str">
        <f>IF(J98="","",I98-J98)</f>
        <v/>
      </c>
      <c r="L98" s="1" t="s">
        <v>81</v>
      </c>
      <c r="M98" s="12"/>
      <c r="N98" s="12"/>
      <c r="O98" s="12"/>
      <c r="P98" s="12"/>
      <c r="Q98" s="12"/>
      <c r="R98" s="12"/>
      <c r="S98" s="12"/>
      <c r="T98" s="12">
        <f>IF(M98="",0,INDEX(Sheet2!A$2:A$6,MATCH(M98,Sheet2!C$2:C$6,0)))</f>
        <v>0</v>
      </c>
      <c r="U98" s="12">
        <f>IF(N98="",0,INDEX(Sheet2!A$2:A$6,MATCH(N98,Sheet2!C$2:C$6,0)))</f>
        <v>0</v>
      </c>
      <c r="V98" s="12">
        <f>IF(O98="",0,INDEX(Sheet2!A$2:A$6,MATCH(O98,Sheet2!C$2:C$6,0)))</f>
        <v>0</v>
      </c>
      <c r="W98" s="12">
        <f>IF(P98="",0,INDEX(Sheet2!A$2:A$6,MATCH(P98,Sheet2!C$2:C$6,0)))</f>
        <v>0</v>
      </c>
      <c r="X98" s="12">
        <f>IF(Q98="",0,INDEX(Sheet2!A$2:A$6,MATCH(Q98,Sheet2!C$2:C$6,0)))</f>
        <v>0</v>
      </c>
      <c r="Y98" s="12">
        <f>IF(R98="",0,INDEX(Sheet2!A$2:A$6,MATCH(R98,Sheet2!C$2:C$6,0)))</f>
        <v>0</v>
      </c>
      <c r="Z98" s="12">
        <f t="shared" si="3"/>
        <v>0</v>
      </c>
      <c r="AA98" s="12" t="str">
        <f>IF(I98&gt;=7500,"E",IF(I98&gt;=6800,"D",IF(I98&gt;=4200,"C",IF(I98&gt;=3000,"B",IF(I98&gt;=750,"A","Below Slab")))))</f>
        <v>E</v>
      </c>
      <c r="AB98" s="19" t="str">
        <f>IF(I98&gt;=7500,"Samsung front-load washing machine",IF(I98&gt;=6800,"Apple iPad",IF(I98&gt;=4200,"Robot Vacuum cleaner",IF(I98&gt;=3000,"Sony - sound bar, woofer and speakers",IF(I98&gt;=750,"Foot massager","Not eligible")))))</f>
        <v>Samsung front-load washing machine</v>
      </c>
    </row>
    <row r="99" spans="1:28" customFormat="1">
      <c r="A99" s="1" t="s">
        <v>359</v>
      </c>
      <c r="B99" s="21" t="s">
        <v>360</v>
      </c>
      <c r="C99" s="21" t="s">
        <v>49</v>
      </c>
      <c r="D99" s="1" t="s">
        <v>18</v>
      </c>
      <c r="E99" s="1" t="s">
        <v>361</v>
      </c>
      <c r="F99" s="1" t="s">
        <v>115</v>
      </c>
      <c r="G99" s="1" t="s">
        <v>9</v>
      </c>
      <c r="H99" s="23">
        <v>242.79</v>
      </c>
      <c r="I99" s="23">
        <v>9104.625</v>
      </c>
      <c r="J99" s="2" t="str">
        <f t="shared" si="2"/>
        <v/>
      </c>
      <c r="K99" s="2" t="str">
        <f>IF(J99="","",I99-J99)</f>
        <v/>
      </c>
      <c r="L99" s="1" t="s">
        <v>81</v>
      </c>
      <c r="M99" s="12"/>
      <c r="N99" s="12"/>
      <c r="O99" s="12"/>
      <c r="P99" s="12"/>
      <c r="Q99" s="12"/>
      <c r="R99" s="12"/>
      <c r="S99" s="12"/>
      <c r="T99" s="12">
        <f>IF(M99="",0,INDEX(Sheet2!A$2:A$6,MATCH(M99,Sheet2!C$2:C$6,0)))</f>
        <v>0</v>
      </c>
      <c r="U99" s="12">
        <f>IF(N99="",0,INDEX(Sheet2!A$2:A$6,MATCH(N99,Sheet2!C$2:C$6,0)))</f>
        <v>0</v>
      </c>
      <c r="V99" s="12">
        <f>IF(O99="",0,INDEX(Sheet2!A$2:A$6,MATCH(O99,Sheet2!C$2:C$6,0)))</f>
        <v>0</v>
      </c>
      <c r="W99" s="12">
        <f>IF(P99="",0,INDEX(Sheet2!A$2:A$6,MATCH(P99,Sheet2!C$2:C$6,0)))</f>
        <v>0</v>
      </c>
      <c r="X99" s="12">
        <f>IF(Q99="",0,INDEX(Sheet2!A$2:A$6,MATCH(Q99,Sheet2!C$2:C$6,0)))</f>
        <v>0</v>
      </c>
      <c r="Y99" s="12">
        <f>IF(R99="",0,INDEX(Sheet2!A$2:A$6,MATCH(R99,Sheet2!C$2:C$6,0)))</f>
        <v>0</v>
      </c>
      <c r="Z99" s="12">
        <f t="shared" si="3"/>
        <v>0</v>
      </c>
      <c r="AA99" s="12" t="str">
        <f>IF(I99&gt;=7500,"E",IF(I99&gt;=6800,"D",IF(I99&gt;=4200,"C",IF(I99&gt;=3000,"B",IF(I99&gt;=750,"A","Below Slab")))))</f>
        <v>E</v>
      </c>
      <c r="AB99" s="19" t="str">
        <f>IF(I99&gt;=7500,"Samsung front-load washing machine",IF(I99&gt;=6800,"Apple iPad",IF(I99&gt;=4200,"Robot Vacuum cleaner",IF(I99&gt;=3000,"Sony - sound bar, woofer and speakers",IF(I99&gt;=750,"Foot massager","Not eligible")))))</f>
        <v>Samsung front-load washing machine</v>
      </c>
    </row>
    <row r="100" spans="1:28" customFormat="1">
      <c r="A100" s="1" t="s">
        <v>362</v>
      </c>
      <c r="B100" s="21" t="s">
        <v>363</v>
      </c>
      <c r="C100" s="21" t="s">
        <v>49</v>
      </c>
      <c r="D100" s="1" t="s">
        <v>18</v>
      </c>
      <c r="E100" s="1" t="s">
        <v>364</v>
      </c>
      <c r="F100" s="1" t="s">
        <v>115</v>
      </c>
      <c r="G100" s="1" t="s">
        <v>9</v>
      </c>
      <c r="H100" s="23">
        <v>312.82</v>
      </c>
      <c r="I100" s="23">
        <v>11730.75</v>
      </c>
      <c r="J100" s="2" t="str">
        <f t="shared" si="2"/>
        <v/>
      </c>
      <c r="K100" s="2" t="str">
        <f>IF(J100="","",I100-J100)</f>
        <v/>
      </c>
      <c r="L100" s="1" t="s">
        <v>81</v>
      </c>
      <c r="M100" s="12"/>
      <c r="N100" s="12"/>
      <c r="O100" s="12"/>
      <c r="P100" s="12"/>
      <c r="Q100" s="12"/>
      <c r="R100" s="12"/>
      <c r="S100" s="12"/>
      <c r="T100" s="12">
        <f>IF(M100="",0,INDEX(Sheet2!A$2:A$6,MATCH(M100,Sheet2!C$2:C$6,0)))</f>
        <v>0</v>
      </c>
      <c r="U100" s="12">
        <f>IF(N100="",0,INDEX(Sheet2!A$2:A$6,MATCH(N100,Sheet2!C$2:C$6,0)))</f>
        <v>0</v>
      </c>
      <c r="V100" s="12">
        <f>IF(O100="",0,INDEX(Sheet2!A$2:A$6,MATCH(O100,Sheet2!C$2:C$6,0)))</f>
        <v>0</v>
      </c>
      <c r="W100" s="12">
        <f>IF(P100="",0,INDEX(Sheet2!A$2:A$6,MATCH(P100,Sheet2!C$2:C$6,0)))</f>
        <v>0</v>
      </c>
      <c r="X100" s="12">
        <f>IF(Q100="",0,INDEX(Sheet2!A$2:A$6,MATCH(Q100,Sheet2!C$2:C$6,0)))</f>
        <v>0</v>
      </c>
      <c r="Y100" s="12">
        <f>IF(R100="",0,INDEX(Sheet2!A$2:A$6,MATCH(R100,Sheet2!C$2:C$6,0)))</f>
        <v>0</v>
      </c>
      <c r="Z100" s="12">
        <f t="shared" si="3"/>
        <v>0</v>
      </c>
      <c r="AA100" s="12" t="str">
        <f>IF(I100&gt;=7500,"E",IF(I100&gt;=6800,"D",IF(I100&gt;=4200,"C",IF(I100&gt;=3000,"B",IF(I100&gt;=750,"A","Below Slab")))))</f>
        <v>E</v>
      </c>
      <c r="AB100" s="19" t="str">
        <f>IF(I100&gt;=7500,"Samsung front-load washing machine",IF(I100&gt;=6800,"Apple iPad",IF(I100&gt;=4200,"Robot Vacuum cleaner",IF(I100&gt;=3000,"Sony - sound bar, woofer and speakers",IF(I100&gt;=750,"Foot massager","Not eligible")))))</f>
        <v>Samsung front-load washing machine</v>
      </c>
    </row>
    <row r="101" spans="1:28" customFormat="1">
      <c r="A101" s="1" t="s">
        <v>365</v>
      </c>
      <c r="B101" s="21" t="s">
        <v>366</v>
      </c>
      <c r="C101" s="21" t="s">
        <v>49</v>
      </c>
      <c r="D101" s="1" t="s">
        <v>18</v>
      </c>
      <c r="E101" s="1" t="s">
        <v>364</v>
      </c>
      <c r="F101" s="1" t="s">
        <v>115</v>
      </c>
      <c r="G101" s="1" t="s">
        <v>9</v>
      </c>
      <c r="H101" s="23">
        <v>123.11</v>
      </c>
      <c r="I101" s="23">
        <v>3693.2999999999997</v>
      </c>
      <c r="J101" s="2" t="str">
        <f t="shared" si="2"/>
        <v/>
      </c>
      <c r="K101" s="2" t="str">
        <f>IF(J101="","",I101-J101)</f>
        <v/>
      </c>
      <c r="L101" s="1" t="s">
        <v>134</v>
      </c>
      <c r="M101" s="12"/>
      <c r="N101" s="12"/>
      <c r="O101" s="12"/>
      <c r="P101" s="12"/>
      <c r="Q101" s="12"/>
      <c r="R101" s="12"/>
      <c r="S101" s="12"/>
      <c r="T101" s="12">
        <f>IF(M101="",0,INDEX(Sheet2!A$2:A$6,MATCH(M101,Sheet2!C$2:C$6,0)))</f>
        <v>0</v>
      </c>
      <c r="U101" s="12">
        <f>IF(N101="",0,INDEX(Sheet2!A$2:A$6,MATCH(N101,Sheet2!C$2:C$6,0)))</f>
        <v>0</v>
      </c>
      <c r="V101" s="12">
        <f>IF(O101="",0,INDEX(Sheet2!A$2:A$6,MATCH(O101,Sheet2!C$2:C$6,0)))</f>
        <v>0</v>
      </c>
      <c r="W101" s="12">
        <f>IF(P101="",0,INDEX(Sheet2!A$2:A$6,MATCH(P101,Sheet2!C$2:C$6,0)))</f>
        <v>0</v>
      </c>
      <c r="X101" s="12">
        <f>IF(Q101="",0,INDEX(Sheet2!A$2:A$6,MATCH(Q101,Sheet2!C$2:C$6,0)))</f>
        <v>0</v>
      </c>
      <c r="Y101" s="12">
        <f>IF(R101="",0,INDEX(Sheet2!A$2:A$6,MATCH(R101,Sheet2!C$2:C$6,0)))</f>
        <v>0</v>
      </c>
      <c r="Z101" s="12">
        <f t="shared" si="3"/>
        <v>0</v>
      </c>
      <c r="AA101" s="12" t="str">
        <f>IF(I101&gt;=7500,"E",IF(I101&gt;=6800,"D",IF(I101&gt;=4200,"C",IF(I101&gt;=3000,"B",IF(I101&gt;=750,"A","Below Slab")))))</f>
        <v>B</v>
      </c>
      <c r="AB101" s="19" t="str">
        <f>IF(I101&gt;=7500,"Samsung front-load washing machine",IF(I101&gt;=6800,"Apple iPad",IF(I101&gt;=4200,"Robot Vacuum cleaner",IF(I101&gt;=3000,"Sony - sound bar, woofer and speakers",IF(I101&gt;=750,"Foot massager","Not eligible")))))</f>
        <v>Sony - sound bar, woofer and speakers</v>
      </c>
    </row>
    <row r="102" spans="1:28" customFormat="1">
      <c r="A102" s="1" t="s">
        <v>367</v>
      </c>
      <c r="B102" s="21" t="s">
        <v>368</v>
      </c>
      <c r="C102" s="21" t="s">
        <v>49</v>
      </c>
      <c r="D102" s="1" t="s">
        <v>18</v>
      </c>
      <c r="E102" s="1" t="s">
        <v>361</v>
      </c>
      <c r="F102" s="1" t="s">
        <v>115</v>
      </c>
      <c r="G102" s="1" t="s">
        <v>9</v>
      </c>
      <c r="H102" s="23">
        <v>200.01</v>
      </c>
      <c r="I102" s="23">
        <v>7500.375</v>
      </c>
      <c r="J102" s="2" t="str">
        <f t="shared" si="2"/>
        <v/>
      </c>
      <c r="K102" s="2" t="str">
        <f>IF(J102="","",I102-J102)</f>
        <v/>
      </c>
      <c r="L102" s="1" t="s">
        <v>81</v>
      </c>
      <c r="M102" s="12"/>
      <c r="N102" s="12"/>
      <c r="O102" s="12"/>
      <c r="P102" s="12"/>
      <c r="Q102" s="12"/>
      <c r="R102" s="12"/>
      <c r="S102" s="12"/>
      <c r="T102" s="12">
        <f>IF(M102="",0,INDEX(Sheet2!A$2:A$6,MATCH(M102,Sheet2!C$2:C$6,0)))</f>
        <v>0</v>
      </c>
      <c r="U102" s="12">
        <f>IF(N102="",0,INDEX(Sheet2!A$2:A$6,MATCH(N102,Sheet2!C$2:C$6,0)))</f>
        <v>0</v>
      </c>
      <c r="V102" s="12">
        <f>IF(O102="",0,INDEX(Sheet2!A$2:A$6,MATCH(O102,Sheet2!C$2:C$6,0)))</f>
        <v>0</v>
      </c>
      <c r="W102" s="12">
        <f>IF(P102="",0,INDEX(Sheet2!A$2:A$6,MATCH(P102,Sheet2!C$2:C$6,0)))</f>
        <v>0</v>
      </c>
      <c r="X102" s="12">
        <f>IF(Q102="",0,INDEX(Sheet2!A$2:A$6,MATCH(Q102,Sheet2!C$2:C$6,0)))</f>
        <v>0</v>
      </c>
      <c r="Y102" s="12">
        <f>IF(R102="",0,INDEX(Sheet2!A$2:A$6,MATCH(R102,Sheet2!C$2:C$6,0)))</f>
        <v>0</v>
      </c>
      <c r="Z102" s="12">
        <f t="shared" si="3"/>
        <v>0</v>
      </c>
      <c r="AA102" s="12" t="str">
        <f>IF(I102&gt;=7500,"E",IF(I102&gt;=6800,"D",IF(I102&gt;=4200,"C",IF(I102&gt;=3000,"B",IF(I102&gt;=750,"A","Below Slab")))))</f>
        <v>E</v>
      </c>
      <c r="AB102" s="19" t="str">
        <f>IF(I102&gt;=7500,"Samsung front-load washing machine",IF(I102&gt;=6800,"Apple iPad",IF(I102&gt;=4200,"Robot Vacuum cleaner",IF(I102&gt;=3000,"Sony - sound bar, woofer and speakers",IF(I102&gt;=750,"Foot massager","Not eligible")))))</f>
        <v>Samsung front-load washing machine</v>
      </c>
    </row>
    <row r="103" spans="1:28" customFormat="1">
      <c r="A103" s="1" t="s">
        <v>369</v>
      </c>
      <c r="B103" s="21" t="s">
        <v>370</v>
      </c>
      <c r="C103" s="21" t="s">
        <v>49</v>
      </c>
      <c r="D103" s="1" t="s">
        <v>18</v>
      </c>
      <c r="E103" s="1" t="s">
        <v>371</v>
      </c>
      <c r="F103" s="1" t="s">
        <v>115</v>
      </c>
      <c r="G103" s="1" t="s">
        <v>9</v>
      </c>
      <c r="H103" s="23">
        <v>417.18</v>
      </c>
      <c r="I103" s="23">
        <v>15644.25</v>
      </c>
      <c r="J103" s="2" t="str">
        <f t="shared" si="2"/>
        <v/>
      </c>
      <c r="K103" s="2" t="str">
        <f>IF(J103="","",I103-J103)</f>
        <v/>
      </c>
      <c r="L103" s="1" t="s">
        <v>81</v>
      </c>
      <c r="M103" s="12"/>
      <c r="N103" s="12"/>
      <c r="O103" s="12"/>
      <c r="P103" s="12"/>
      <c r="Q103" s="12"/>
      <c r="R103" s="12"/>
      <c r="S103" s="12"/>
      <c r="T103" s="12">
        <f>IF(M103="",0,INDEX(Sheet2!A$2:A$6,MATCH(M103,Sheet2!C$2:C$6,0)))</f>
        <v>0</v>
      </c>
      <c r="U103" s="12">
        <f>IF(N103="",0,INDEX(Sheet2!A$2:A$6,MATCH(N103,Sheet2!C$2:C$6,0)))</f>
        <v>0</v>
      </c>
      <c r="V103" s="12">
        <f>IF(O103="",0,INDEX(Sheet2!A$2:A$6,MATCH(O103,Sheet2!C$2:C$6,0)))</f>
        <v>0</v>
      </c>
      <c r="W103" s="12">
        <f>IF(P103="",0,INDEX(Sheet2!A$2:A$6,MATCH(P103,Sheet2!C$2:C$6,0)))</f>
        <v>0</v>
      </c>
      <c r="X103" s="12">
        <f>IF(Q103="",0,INDEX(Sheet2!A$2:A$6,MATCH(Q103,Sheet2!C$2:C$6,0)))</f>
        <v>0</v>
      </c>
      <c r="Y103" s="12">
        <f>IF(R103="",0,INDEX(Sheet2!A$2:A$6,MATCH(R103,Sheet2!C$2:C$6,0)))</f>
        <v>0</v>
      </c>
      <c r="Z103" s="12">
        <f t="shared" si="3"/>
        <v>0</v>
      </c>
      <c r="AA103" s="12" t="str">
        <f>IF(I103&gt;=7500,"E",IF(I103&gt;=6800,"D",IF(I103&gt;=4200,"C",IF(I103&gt;=3000,"B",IF(I103&gt;=750,"A","Below Slab")))))</f>
        <v>E</v>
      </c>
      <c r="AB103" s="19" t="str">
        <f>IF(I103&gt;=7500,"Samsung front-load washing machine",IF(I103&gt;=6800,"Apple iPad",IF(I103&gt;=4200,"Robot Vacuum cleaner",IF(I103&gt;=3000,"Sony - sound bar, woofer and speakers",IF(I103&gt;=750,"Foot massager","Not eligible")))))</f>
        <v>Samsung front-load washing machine</v>
      </c>
    </row>
    <row r="104" spans="1:28" customFormat="1">
      <c r="A104" s="1" t="s">
        <v>372</v>
      </c>
      <c r="B104" s="21" t="s">
        <v>373</v>
      </c>
      <c r="C104" s="21" t="s">
        <v>49</v>
      </c>
      <c r="D104" s="1" t="s">
        <v>18</v>
      </c>
      <c r="E104" s="1" t="s">
        <v>371</v>
      </c>
      <c r="F104" s="1" t="s">
        <v>115</v>
      </c>
      <c r="G104" s="1" t="s">
        <v>9</v>
      </c>
      <c r="H104" s="23">
        <v>161.84999999999997</v>
      </c>
      <c r="I104" s="23">
        <v>5260.1249999999991</v>
      </c>
      <c r="J104" s="2" t="str">
        <f t="shared" si="2"/>
        <v/>
      </c>
      <c r="K104" s="2" t="str">
        <f>IF(J104="","",I104-J104)</f>
        <v/>
      </c>
      <c r="L104" s="1" t="s">
        <v>77</v>
      </c>
      <c r="M104" s="12"/>
      <c r="N104" s="12"/>
      <c r="O104" s="12"/>
      <c r="P104" s="12"/>
      <c r="Q104" s="12"/>
      <c r="R104" s="12"/>
      <c r="S104" s="12"/>
      <c r="T104" s="12">
        <f>IF(M104="",0,INDEX(Sheet2!A$2:A$6,MATCH(M104,Sheet2!C$2:C$6,0)))</f>
        <v>0</v>
      </c>
      <c r="U104" s="12">
        <f>IF(N104="",0,INDEX(Sheet2!A$2:A$6,MATCH(N104,Sheet2!C$2:C$6,0)))</f>
        <v>0</v>
      </c>
      <c r="V104" s="12">
        <f>IF(O104="",0,INDEX(Sheet2!A$2:A$6,MATCH(O104,Sheet2!C$2:C$6,0)))</f>
        <v>0</v>
      </c>
      <c r="W104" s="12">
        <f>IF(P104="",0,INDEX(Sheet2!A$2:A$6,MATCH(P104,Sheet2!C$2:C$6,0)))</f>
        <v>0</v>
      </c>
      <c r="X104" s="12">
        <f>IF(Q104="",0,INDEX(Sheet2!A$2:A$6,MATCH(Q104,Sheet2!C$2:C$6,0)))</f>
        <v>0</v>
      </c>
      <c r="Y104" s="12">
        <f>IF(R104="",0,INDEX(Sheet2!A$2:A$6,MATCH(R104,Sheet2!C$2:C$6,0)))</f>
        <v>0</v>
      </c>
      <c r="Z104" s="12">
        <f t="shared" si="3"/>
        <v>0</v>
      </c>
      <c r="AA104" s="12" t="str">
        <f>IF(I104&gt;=7500,"E",IF(I104&gt;=6800,"D",IF(I104&gt;=4200,"C",IF(I104&gt;=3000,"B",IF(I104&gt;=750,"A","Below Slab")))))</f>
        <v>C</v>
      </c>
      <c r="AB104" s="19" t="str">
        <f>IF(I104&gt;=7500,"Samsung front-load washing machine",IF(I104&gt;=6800,"Apple iPad",IF(I104&gt;=4200,"Robot Vacuum cleaner",IF(I104&gt;=3000,"Sony - sound bar, woofer and speakers",IF(I104&gt;=750,"Foot massager","Not eligible")))))</f>
        <v>Robot Vacuum cleaner</v>
      </c>
    </row>
    <row r="105" spans="1:28" customFormat="1">
      <c r="A105" s="1" t="s">
        <v>374</v>
      </c>
      <c r="B105" s="21" t="s">
        <v>375</v>
      </c>
      <c r="C105" s="21" t="s">
        <v>49</v>
      </c>
      <c r="D105" s="1" t="s">
        <v>18</v>
      </c>
      <c r="E105" s="1" t="s">
        <v>361</v>
      </c>
      <c r="F105" s="1" t="s">
        <v>115</v>
      </c>
      <c r="G105" s="1" t="s">
        <v>9</v>
      </c>
      <c r="H105" s="23">
        <v>64.080000000000013</v>
      </c>
      <c r="I105" s="23">
        <v>1762.2000000000005</v>
      </c>
      <c r="J105" s="2" t="str">
        <f t="shared" si="2"/>
        <v/>
      </c>
      <c r="K105" s="2" t="str">
        <f>IF(J105="","",I105-J105)</f>
        <v/>
      </c>
      <c r="L105" s="1" t="s">
        <v>73</v>
      </c>
      <c r="M105" s="12"/>
      <c r="N105" s="12"/>
      <c r="O105" s="12"/>
      <c r="P105" s="12"/>
      <c r="Q105" s="12"/>
      <c r="R105" s="12"/>
      <c r="S105" s="12"/>
      <c r="T105" s="12">
        <f>IF(M105="",0,INDEX(Sheet2!A$2:A$6,MATCH(M105,Sheet2!C$2:C$6,0)))</f>
        <v>0</v>
      </c>
      <c r="U105" s="12">
        <f>IF(N105="",0,INDEX(Sheet2!A$2:A$6,MATCH(N105,Sheet2!C$2:C$6,0)))</f>
        <v>0</v>
      </c>
      <c r="V105" s="12">
        <f>IF(O105="",0,INDEX(Sheet2!A$2:A$6,MATCH(O105,Sheet2!C$2:C$6,0)))</f>
        <v>0</v>
      </c>
      <c r="W105" s="12">
        <f>IF(P105="",0,INDEX(Sheet2!A$2:A$6,MATCH(P105,Sheet2!C$2:C$6,0)))</f>
        <v>0</v>
      </c>
      <c r="X105" s="12">
        <f>IF(Q105="",0,INDEX(Sheet2!A$2:A$6,MATCH(Q105,Sheet2!C$2:C$6,0)))</f>
        <v>0</v>
      </c>
      <c r="Y105" s="12">
        <f>IF(R105="",0,INDEX(Sheet2!A$2:A$6,MATCH(R105,Sheet2!C$2:C$6,0)))</f>
        <v>0</v>
      </c>
      <c r="Z105" s="12">
        <f t="shared" si="3"/>
        <v>0</v>
      </c>
      <c r="AA105" s="12" t="str">
        <f>IF(I105&gt;=7500,"E",IF(I105&gt;=6800,"D",IF(I105&gt;=4200,"C",IF(I105&gt;=3000,"B",IF(I105&gt;=750,"A","Below Slab")))))</f>
        <v>A</v>
      </c>
      <c r="AB105" s="19" t="str">
        <f>IF(I105&gt;=7500,"Samsung front-load washing machine",IF(I105&gt;=6800,"Apple iPad",IF(I105&gt;=4200,"Robot Vacuum cleaner",IF(I105&gt;=3000,"Sony - sound bar, woofer and speakers",IF(I105&gt;=750,"Foot massager","Not eligible")))))</f>
        <v>Foot massager</v>
      </c>
    </row>
    <row r="106" spans="1:28" customFormat="1">
      <c r="A106" s="1" t="s">
        <v>376</v>
      </c>
      <c r="B106" s="21" t="s">
        <v>324</v>
      </c>
      <c r="C106" s="21" t="s">
        <v>49</v>
      </c>
      <c r="D106" s="1" t="s">
        <v>18</v>
      </c>
      <c r="E106" s="1" t="s">
        <v>371</v>
      </c>
      <c r="F106" s="1" t="s">
        <v>115</v>
      </c>
      <c r="G106" s="1" t="s">
        <v>9</v>
      </c>
      <c r="H106" s="23">
        <v>338.40999999999997</v>
      </c>
      <c r="I106" s="23">
        <v>12690.375</v>
      </c>
      <c r="J106" s="2" t="str">
        <f t="shared" si="2"/>
        <v/>
      </c>
      <c r="K106" s="2" t="str">
        <f>IF(J106="","",I106-J106)</f>
        <v/>
      </c>
      <c r="L106" s="1" t="s">
        <v>81</v>
      </c>
      <c r="M106" s="12"/>
      <c r="N106" s="12"/>
      <c r="O106" s="12"/>
      <c r="P106" s="12"/>
      <c r="Q106" s="12"/>
      <c r="R106" s="12"/>
      <c r="S106" s="12"/>
      <c r="T106" s="12">
        <f>IF(M106="",0,INDEX(Sheet2!A$2:A$6,MATCH(M106,Sheet2!C$2:C$6,0)))</f>
        <v>0</v>
      </c>
      <c r="U106" s="12">
        <f>IF(N106="",0,INDEX(Sheet2!A$2:A$6,MATCH(N106,Sheet2!C$2:C$6,0)))</f>
        <v>0</v>
      </c>
      <c r="V106" s="12">
        <f>IF(O106="",0,INDEX(Sheet2!A$2:A$6,MATCH(O106,Sheet2!C$2:C$6,0)))</f>
        <v>0</v>
      </c>
      <c r="W106" s="12">
        <f>IF(P106="",0,INDEX(Sheet2!A$2:A$6,MATCH(P106,Sheet2!C$2:C$6,0)))</f>
        <v>0</v>
      </c>
      <c r="X106" s="12">
        <f>IF(Q106="",0,INDEX(Sheet2!A$2:A$6,MATCH(Q106,Sheet2!C$2:C$6,0)))</f>
        <v>0</v>
      </c>
      <c r="Y106" s="12">
        <f>IF(R106="",0,INDEX(Sheet2!A$2:A$6,MATCH(R106,Sheet2!C$2:C$6,0)))</f>
        <v>0</v>
      </c>
      <c r="Z106" s="12">
        <f t="shared" si="3"/>
        <v>0</v>
      </c>
      <c r="AA106" s="12" t="str">
        <f>IF(I106&gt;=7500,"E",IF(I106&gt;=6800,"D",IF(I106&gt;=4200,"C",IF(I106&gt;=3000,"B",IF(I106&gt;=750,"A","Below Slab")))))</f>
        <v>E</v>
      </c>
      <c r="AB106" s="19" t="str">
        <f>IF(I106&gt;=7500,"Samsung front-load washing machine",IF(I106&gt;=6800,"Apple iPad",IF(I106&gt;=4200,"Robot Vacuum cleaner",IF(I106&gt;=3000,"Sony - sound bar, woofer and speakers",IF(I106&gt;=750,"Foot massager","Not eligible")))))</f>
        <v>Samsung front-load washing machine</v>
      </c>
    </row>
    <row r="107" spans="1:28" customFormat="1">
      <c r="A107" s="1" t="s">
        <v>377</v>
      </c>
      <c r="B107" s="21" t="s">
        <v>378</v>
      </c>
      <c r="C107" s="21" t="s">
        <v>49</v>
      </c>
      <c r="D107" s="1" t="s">
        <v>18</v>
      </c>
      <c r="E107" s="1" t="s">
        <v>371</v>
      </c>
      <c r="F107" s="1" t="s">
        <v>115</v>
      </c>
      <c r="G107" s="1" t="s">
        <v>9</v>
      </c>
      <c r="H107" s="23">
        <v>61.18</v>
      </c>
      <c r="I107" s="23">
        <v>1682.45</v>
      </c>
      <c r="J107" s="2" t="str">
        <f t="shared" si="2"/>
        <v/>
      </c>
      <c r="K107" s="2" t="str">
        <f>IF(J107="","",I107-J107)</f>
        <v/>
      </c>
      <c r="L107" s="1" t="s">
        <v>73</v>
      </c>
      <c r="M107" s="12"/>
      <c r="N107" s="12"/>
      <c r="O107" s="12"/>
      <c r="P107" s="12"/>
      <c r="Q107" s="12"/>
      <c r="R107" s="12"/>
      <c r="S107" s="12"/>
      <c r="T107" s="12">
        <f>IF(M107="",0,INDEX(Sheet2!A$2:A$6,MATCH(M107,Sheet2!C$2:C$6,0)))</f>
        <v>0</v>
      </c>
      <c r="U107" s="12">
        <f>IF(N107="",0,INDEX(Sheet2!A$2:A$6,MATCH(N107,Sheet2!C$2:C$6,0)))</f>
        <v>0</v>
      </c>
      <c r="V107" s="12">
        <f>IF(O107="",0,INDEX(Sheet2!A$2:A$6,MATCH(O107,Sheet2!C$2:C$6,0)))</f>
        <v>0</v>
      </c>
      <c r="W107" s="12">
        <f>IF(P107="",0,INDEX(Sheet2!A$2:A$6,MATCH(P107,Sheet2!C$2:C$6,0)))</f>
        <v>0</v>
      </c>
      <c r="X107" s="12">
        <f>IF(Q107="",0,INDEX(Sheet2!A$2:A$6,MATCH(Q107,Sheet2!C$2:C$6,0)))</f>
        <v>0</v>
      </c>
      <c r="Y107" s="12">
        <f>IF(R107="",0,INDEX(Sheet2!A$2:A$6,MATCH(R107,Sheet2!C$2:C$6,0)))</f>
        <v>0</v>
      </c>
      <c r="Z107" s="12">
        <f t="shared" si="3"/>
        <v>0</v>
      </c>
      <c r="AA107" s="12" t="str">
        <f>IF(I107&gt;=7500,"E",IF(I107&gt;=6800,"D",IF(I107&gt;=4200,"C",IF(I107&gt;=3000,"B",IF(I107&gt;=750,"A","Below Slab")))))</f>
        <v>A</v>
      </c>
      <c r="AB107" s="19" t="str">
        <f>IF(I107&gt;=7500,"Samsung front-load washing machine",IF(I107&gt;=6800,"Apple iPad",IF(I107&gt;=4200,"Robot Vacuum cleaner",IF(I107&gt;=3000,"Sony - sound bar, woofer and speakers",IF(I107&gt;=750,"Foot massager","Not eligible")))))</f>
        <v>Foot massager</v>
      </c>
    </row>
    <row r="108" spans="1:28" customFormat="1">
      <c r="A108" s="1" t="s">
        <v>379</v>
      </c>
      <c r="B108" s="21" t="s">
        <v>380</v>
      </c>
      <c r="C108" s="21" t="s">
        <v>49</v>
      </c>
      <c r="D108" s="1" t="s">
        <v>18</v>
      </c>
      <c r="E108" s="1" t="s">
        <v>371</v>
      </c>
      <c r="F108" s="1" t="s">
        <v>115</v>
      </c>
      <c r="G108" s="1" t="s">
        <v>9</v>
      </c>
      <c r="H108" s="23">
        <v>101.81</v>
      </c>
      <c r="I108" s="23">
        <v>3054.2999999999997</v>
      </c>
      <c r="J108" s="2" t="str">
        <f t="shared" si="2"/>
        <v/>
      </c>
      <c r="K108" s="2" t="str">
        <f>IF(J108="","",I108-J108)</f>
        <v/>
      </c>
      <c r="L108" s="1" t="s">
        <v>134</v>
      </c>
      <c r="M108" s="12"/>
      <c r="N108" s="12"/>
      <c r="O108" s="12"/>
      <c r="P108" s="12"/>
      <c r="Q108" s="12"/>
      <c r="R108" s="12"/>
      <c r="S108" s="12"/>
      <c r="T108" s="12">
        <f>IF(M108="",0,INDEX(Sheet2!A$2:A$6,MATCH(M108,Sheet2!C$2:C$6,0)))</f>
        <v>0</v>
      </c>
      <c r="U108" s="12">
        <f>IF(N108="",0,INDEX(Sheet2!A$2:A$6,MATCH(N108,Sheet2!C$2:C$6,0)))</f>
        <v>0</v>
      </c>
      <c r="V108" s="12">
        <f>IF(O108="",0,INDEX(Sheet2!A$2:A$6,MATCH(O108,Sheet2!C$2:C$6,0)))</f>
        <v>0</v>
      </c>
      <c r="W108" s="12">
        <f>IF(P108="",0,INDEX(Sheet2!A$2:A$6,MATCH(P108,Sheet2!C$2:C$6,0)))</f>
        <v>0</v>
      </c>
      <c r="X108" s="12">
        <f>IF(Q108="",0,INDEX(Sheet2!A$2:A$6,MATCH(Q108,Sheet2!C$2:C$6,0)))</f>
        <v>0</v>
      </c>
      <c r="Y108" s="12">
        <f>IF(R108="",0,INDEX(Sheet2!A$2:A$6,MATCH(R108,Sheet2!C$2:C$6,0)))</f>
        <v>0</v>
      </c>
      <c r="Z108" s="12">
        <f t="shared" si="3"/>
        <v>0</v>
      </c>
      <c r="AA108" s="12" t="str">
        <f>IF(I108&gt;=7500,"E",IF(I108&gt;=6800,"D",IF(I108&gt;=4200,"C",IF(I108&gt;=3000,"B",IF(I108&gt;=750,"A","Below Slab")))))</f>
        <v>B</v>
      </c>
      <c r="AB108" s="19" t="str">
        <f>IF(I108&gt;=7500,"Samsung front-load washing machine",IF(I108&gt;=6800,"Apple iPad",IF(I108&gt;=4200,"Robot Vacuum cleaner",IF(I108&gt;=3000,"Sony - sound bar, woofer and speakers",IF(I108&gt;=750,"Foot massager","Not eligible")))))</f>
        <v>Sony - sound bar, woofer and speakers</v>
      </c>
    </row>
    <row r="109" spans="1:28" customFormat="1">
      <c r="A109" s="1" t="s">
        <v>381</v>
      </c>
      <c r="B109" s="21" t="s">
        <v>382</v>
      </c>
      <c r="C109" s="21" t="s">
        <v>49</v>
      </c>
      <c r="D109" s="1" t="s">
        <v>18</v>
      </c>
      <c r="E109" s="1" t="s">
        <v>371</v>
      </c>
      <c r="F109" s="1" t="s">
        <v>115</v>
      </c>
      <c r="G109" s="1" t="s">
        <v>9</v>
      </c>
      <c r="H109" s="23">
        <v>46.309999999999995</v>
      </c>
      <c r="I109" s="23">
        <v>1157.7499999999998</v>
      </c>
      <c r="J109" s="2" t="str">
        <f t="shared" si="2"/>
        <v/>
      </c>
      <c r="K109" s="2" t="str">
        <f>IF(J109="","",I109-J109)</f>
        <v/>
      </c>
      <c r="L109" s="1" t="s">
        <v>73</v>
      </c>
      <c r="M109" s="12"/>
      <c r="N109" s="12"/>
      <c r="O109" s="12"/>
      <c r="P109" s="12"/>
      <c r="Q109" s="12"/>
      <c r="R109" s="12"/>
      <c r="S109" s="12"/>
      <c r="T109" s="12">
        <f>IF(M109="",0,INDEX(Sheet2!A$2:A$6,MATCH(M109,Sheet2!C$2:C$6,0)))</f>
        <v>0</v>
      </c>
      <c r="U109" s="12">
        <f>IF(N109="",0,INDEX(Sheet2!A$2:A$6,MATCH(N109,Sheet2!C$2:C$6,0)))</f>
        <v>0</v>
      </c>
      <c r="V109" s="12">
        <f>IF(O109="",0,INDEX(Sheet2!A$2:A$6,MATCH(O109,Sheet2!C$2:C$6,0)))</f>
        <v>0</v>
      </c>
      <c r="W109" s="12">
        <f>IF(P109="",0,INDEX(Sheet2!A$2:A$6,MATCH(P109,Sheet2!C$2:C$6,0)))</f>
        <v>0</v>
      </c>
      <c r="X109" s="12">
        <f>IF(Q109="",0,INDEX(Sheet2!A$2:A$6,MATCH(Q109,Sheet2!C$2:C$6,0)))</f>
        <v>0</v>
      </c>
      <c r="Y109" s="12">
        <f>IF(R109="",0,INDEX(Sheet2!A$2:A$6,MATCH(R109,Sheet2!C$2:C$6,0)))</f>
        <v>0</v>
      </c>
      <c r="Z109" s="12">
        <f t="shared" si="3"/>
        <v>0</v>
      </c>
      <c r="AA109" s="12" t="str">
        <f>IF(I109&gt;=7500,"E",IF(I109&gt;=6800,"D",IF(I109&gt;=4200,"C",IF(I109&gt;=3000,"B",IF(I109&gt;=750,"A","Below Slab")))))</f>
        <v>A</v>
      </c>
      <c r="AB109" s="19" t="str">
        <f>IF(I109&gt;=7500,"Samsung front-load washing machine",IF(I109&gt;=6800,"Apple iPad",IF(I109&gt;=4200,"Robot Vacuum cleaner",IF(I109&gt;=3000,"Sony - sound bar, woofer and speakers",IF(I109&gt;=750,"Foot massager","Not eligible")))))</f>
        <v>Foot massager</v>
      </c>
    </row>
    <row r="110" spans="1:28" customFormat="1">
      <c r="A110" s="1" t="s">
        <v>383</v>
      </c>
      <c r="B110" s="21" t="s">
        <v>384</v>
      </c>
      <c r="C110" s="21" t="s">
        <v>49</v>
      </c>
      <c r="D110" s="1" t="s">
        <v>18</v>
      </c>
      <c r="E110" s="1" t="s">
        <v>371</v>
      </c>
      <c r="F110" s="1" t="s">
        <v>115</v>
      </c>
      <c r="G110" s="1" t="s">
        <v>9</v>
      </c>
      <c r="H110" s="23">
        <v>208.39000000000001</v>
      </c>
      <c r="I110" s="23">
        <v>7814.625</v>
      </c>
      <c r="J110" s="2" t="str">
        <f t="shared" si="2"/>
        <v/>
      </c>
      <c r="K110" s="2" t="str">
        <f>IF(J110="","",I110-J110)</f>
        <v/>
      </c>
      <c r="L110" s="1" t="s">
        <v>81</v>
      </c>
      <c r="M110" s="12"/>
      <c r="N110" s="12"/>
      <c r="O110" s="12"/>
      <c r="P110" s="12"/>
      <c r="Q110" s="12"/>
      <c r="R110" s="12"/>
      <c r="S110" s="12"/>
      <c r="T110" s="12">
        <f>IF(M110="",0,INDEX(Sheet2!A$2:A$6,MATCH(M110,Sheet2!C$2:C$6,0)))</f>
        <v>0</v>
      </c>
      <c r="U110" s="12">
        <f>IF(N110="",0,INDEX(Sheet2!A$2:A$6,MATCH(N110,Sheet2!C$2:C$6,0)))</f>
        <v>0</v>
      </c>
      <c r="V110" s="12">
        <f>IF(O110="",0,INDEX(Sheet2!A$2:A$6,MATCH(O110,Sheet2!C$2:C$6,0)))</f>
        <v>0</v>
      </c>
      <c r="W110" s="12">
        <f>IF(P110="",0,INDEX(Sheet2!A$2:A$6,MATCH(P110,Sheet2!C$2:C$6,0)))</f>
        <v>0</v>
      </c>
      <c r="X110" s="12">
        <f>IF(Q110="",0,INDEX(Sheet2!A$2:A$6,MATCH(Q110,Sheet2!C$2:C$6,0)))</f>
        <v>0</v>
      </c>
      <c r="Y110" s="12">
        <f>IF(R110="",0,INDEX(Sheet2!A$2:A$6,MATCH(R110,Sheet2!C$2:C$6,0)))</f>
        <v>0</v>
      </c>
      <c r="Z110" s="12">
        <f t="shared" si="3"/>
        <v>0</v>
      </c>
      <c r="AA110" s="12" t="str">
        <f>IF(I110&gt;=7500,"E",IF(I110&gt;=6800,"D",IF(I110&gt;=4200,"C",IF(I110&gt;=3000,"B",IF(I110&gt;=750,"A","Below Slab")))))</f>
        <v>E</v>
      </c>
      <c r="AB110" s="19" t="str">
        <f>IF(I110&gt;=7500,"Samsung front-load washing machine",IF(I110&gt;=6800,"Apple iPad",IF(I110&gt;=4200,"Robot Vacuum cleaner",IF(I110&gt;=3000,"Sony - sound bar, woofer and speakers",IF(I110&gt;=750,"Foot massager","Not eligible")))))</f>
        <v>Samsung front-load washing machine</v>
      </c>
    </row>
    <row r="111" spans="1:28" customFormat="1">
      <c r="A111" s="1" t="s">
        <v>385</v>
      </c>
      <c r="B111" s="21" t="s">
        <v>386</v>
      </c>
      <c r="C111" s="21" t="s">
        <v>49</v>
      </c>
      <c r="D111" s="1" t="s">
        <v>18</v>
      </c>
      <c r="E111" s="1" t="s">
        <v>371</v>
      </c>
      <c r="F111" s="1" t="s">
        <v>115</v>
      </c>
      <c r="G111" s="1" t="s">
        <v>9</v>
      </c>
      <c r="H111" s="23">
        <v>36.1</v>
      </c>
      <c r="I111" s="23">
        <v>902.5</v>
      </c>
      <c r="J111" s="2" t="str">
        <f t="shared" si="2"/>
        <v/>
      </c>
      <c r="K111" s="2" t="str">
        <f>IF(J111="","",I111-J111)</f>
        <v/>
      </c>
      <c r="L111" s="1" t="s">
        <v>73</v>
      </c>
      <c r="M111" s="12"/>
      <c r="N111" s="12"/>
      <c r="O111" s="12"/>
      <c r="P111" s="12"/>
      <c r="Q111" s="12"/>
      <c r="R111" s="12"/>
      <c r="S111" s="12"/>
      <c r="T111" s="12">
        <f>IF(M111="",0,INDEX(Sheet2!A$2:A$6,MATCH(M111,Sheet2!C$2:C$6,0)))</f>
        <v>0</v>
      </c>
      <c r="U111" s="12">
        <f>IF(N111="",0,INDEX(Sheet2!A$2:A$6,MATCH(N111,Sheet2!C$2:C$6,0)))</f>
        <v>0</v>
      </c>
      <c r="V111" s="12">
        <f>IF(O111="",0,INDEX(Sheet2!A$2:A$6,MATCH(O111,Sheet2!C$2:C$6,0)))</f>
        <v>0</v>
      </c>
      <c r="W111" s="12">
        <f>IF(P111="",0,INDEX(Sheet2!A$2:A$6,MATCH(P111,Sheet2!C$2:C$6,0)))</f>
        <v>0</v>
      </c>
      <c r="X111" s="12">
        <f>IF(Q111="",0,INDEX(Sheet2!A$2:A$6,MATCH(Q111,Sheet2!C$2:C$6,0)))</f>
        <v>0</v>
      </c>
      <c r="Y111" s="12">
        <f>IF(R111="",0,INDEX(Sheet2!A$2:A$6,MATCH(R111,Sheet2!C$2:C$6,0)))</f>
        <v>0</v>
      </c>
      <c r="Z111" s="12">
        <f t="shared" si="3"/>
        <v>0</v>
      </c>
      <c r="AA111" s="12" t="str">
        <f>IF(I111&gt;=7500,"E",IF(I111&gt;=6800,"D",IF(I111&gt;=4200,"C",IF(I111&gt;=3000,"B",IF(I111&gt;=750,"A","Below Slab")))))</f>
        <v>A</v>
      </c>
      <c r="AB111" s="19" t="str">
        <f>IF(I111&gt;=7500,"Samsung front-load washing machine",IF(I111&gt;=6800,"Apple iPad",IF(I111&gt;=4200,"Robot Vacuum cleaner",IF(I111&gt;=3000,"Sony - sound bar, woofer and speakers",IF(I111&gt;=750,"Foot massager","Not eligible")))))</f>
        <v>Foot massager</v>
      </c>
    </row>
    <row r="112" spans="1:28" customFormat="1">
      <c r="A112" s="1" t="s">
        <v>387</v>
      </c>
      <c r="B112" s="21" t="s">
        <v>388</v>
      </c>
      <c r="C112" s="21" t="s">
        <v>52</v>
      </c>
      <c r="D112" s="1" t="s">
        <v>18</v>
      </c>
      <c r="E112" s="1" t="s">
        <v>354</v>
      </c>
      <c r="F112" s="1" t="s">
        <v>115</v>
      </c>
      <c r="G112" s="1" t="s">
        <v>9</v>
      </c>
      <c r="H112" s="23">
        <v>427.61</v>
      </c>
      <c r="I112" s="23">
        <v>16035.375</v>
      </c>
      <c r="J112" s="2" t="str">
        <f t="shared" si="2"/>
        <v/>
      </c>
      <c r="K112" s="2" t="str">
        <f>IF(J112="","",I112-J112)</f>
        <v/>
      </c>
      <c r="L112" s="1" t="s">
        <v>81</v>
      </c>
      <c r="M112" s="12"/>
      <c r="N112" s="12"/>
      <c r="O112" s="12"/>
      <c r="P112" s="12"/>
      <c r="Q112" s="12"/>
      <c r="R112" s="12"/>
      <c r="S112" s="12"/>
      <c r="T112" s="12">
        <f>IF(M112="",0,INDEX(Sheet2!A$2:A$6,MATCH(M112,Sheet2!C$2:C$6,0)))</f>
        <v>0</v>
      </c>
      <c r="U112" s="12">
        <f>IF(N112="",0,INDEX(Sheet2!A$2:A$6,MATCH(N112,Sheet2!C$2:C$6,0)))</f>
        <v>0</v>
      </c>
      <c r="V112" s="12">
        <f>IF(O112="",0,INDEX(Sheet2!A$2:A$6,MATCH(O112,Sheet2!C$2:C$6,0)))</f>
        <v>0</v>
      </c>
      <c r="W112" s="12">
        <f>IF(P112="",0,INDEX(Sheet2!A$2:A$6,MATCH(P112,Sheet2!C$2:C$6,0)))</f>
        <v>0</v>
      </c>
      <c r="X112" s="12">
        <f>IF(Q112="",0,INDEX(Sheet2!A$2:A$6,MATCH(Q112,Sheet2!C$2:C$6,0)))</f>
        <v>0</v>
      </c>
      <c r="Y112" s="12">
        <f>IF(R112="",0,INDEX(Sheet2!A$2:A$6,MATCH(R112,Sheet2!C$2:C$6,0)))</f>
        <v>0</v>
      </c>
      <c r="Z112" s="12">
        <f t="shared" si="3"/>
        <v>0</v>
      </c>
      <c r="AA112" s="12" t="str">
        <f>IF(I112&gt;=7500,"E",IF(I112&gt;=6800,"D",IF(I112&gt;=4200,"C",IF(I112&gt;=3000,"B",IF(I112&gt;=750,"A","Below Slab")))))</f>
        <v>E</v>
      </c>
      <c r="AB112" s="19" t="str">
        <f>IF(I112&gt;=7500,"Samsung front-load washing machine",IF(I112&gt;=6800,"Apple iPad",IF(I112&gt;=4200,"Robot Vacuum cleaner",IF(I112&gt;=3000,"Sony - sound bar, woofer and speakers",IF(I112&gt;=750,"Foot massager","Not eligible")))))</f>
        <v>Samsung front-load washing machine</v>
      </c>
    </row>
    <row r="113" spans="1:28" customFormat="1">
      <c r="A113" s="1" t="s">
        <v>389</v>
      </c>
      <c r="B113" s="21" t="s">
        <v>390</v>
      </c>
      <c r="C113" s="21" t="s">
        <v>52</v>
      </c>
      <c r="D113" s="1" t="s">
        <v>18</v>
      </c>
      <c r="E113" s="1" t="s">
        <v>354</v>
      </c>
      <c r="F113" s="1" t="s">
        <v>115</v>
      </c>
      <c r="G113" s="1" t="s">
        <v>9</v>
      </c>
      <c r="H113" s="23">
        <v>163.89</v>
      </c>
      <c r="I113" s="23">
        <v>5326.4250000000002</v>
      </c>
      <c r="J113" s="2" t="str">
        <f t="shared" si="2"/>
        <v/>
      </c>
      <c r="K113" s="2" t="str">
        <f>IF(J113="","",I113-J113)</f>
        <v/>
      </c>
      <c r="L113" s="1" t="s">
        <v>77</v>
      </c>
      <c r="M113" s="12"/>
      <c r="N113" s="12"/>
      <c r="O113" s="12"/>
      <c r="P113" s="12"/>
      <c r="Q113" s="12"/>
      <c r="R113" s="12"/>
      <c r="S113" s="12"/>
      <c r="T113" s="12">
        <f>IF(M113="",0,INDEX(Sheet2!A$2:A$6,MATCH(M113,Sheet2!C$2:C$6,0)))</f>
        <v>0</v>
      </c>
      <c r="U113" s="12">
        <f>IF(N113="",0,INDEX(Sheet2!A$2:A$6,MATCH(N113,Sheet2!C$2:C$6,0)))</f>
        <v>0</v>
      </c>
      <c r="V113" s="12">
        <f>IF(O113="",0,INDEX(Sheet2!A$2:A$6,MATCH(O113,Sheet2!C$2:C$6,0)))</f>
        <v>0</v>
      </c>
      <c r="W113" s="12">
        <f>IF(P113="",0,INDEX(Sheet2!A$2:A$6,MATCH(P113,Sheet2!C$2:C$6,0)))</f>
        <v>0</v>
      </c>
      <c r="X113" s="12">
        <f>IF(Q113="",0,INDEX(Sheet2!A$2:A$6,MATCH(Q113,Sheet2!C$2:C$6,0)))</f>
        <v>0</v>
      </c>
      <c r="Y113" s="12">
        <f>IF(R113="",0,INDEX(Sheet2!A$2:A$6,MATCH(R113,Sheet2!C$2:C$6,0)))</f>
        <v>0</v>
      </c>
      <c r="Z113" s="12">
        <f t="shared" si="3"/>
        <v>0</v>
      </c>
      <c r="AA113" s="12" t="str">
        <f>IF(I113&gt;=7500,"E",IF(I113&gt;=6800,"D",IF(I113&gt;=4200,"C",IF(I113&gt;=3000,"B",IF(I113&gt;=750,"A","Below Slab")))))</f>
        <v>C</v>
      </c>
      <c r="AB113" s="19" t="str">
        <f>IF(I113&gt;=7500,"Samsung front-load washing machine",IF(I113&gt;=6800,"Apple iPad",IF(I113&gt;=4200,"Robot Vacuum cleaner",IF(I113&gt;=3000,"Sony - sound bar, woofer and speakers",IF(I113&gt;=750,"Foot massager","Not eligible")))))</f>
        <v>Robot Vacuum cleaner</v>
      </c>
    </row>
    <row r="114" spans="1:28" customFormat="1">
      <c r="A114" s="1" t="s">
        <v>391</v>
      </c>
      <c r="B114" s="21" t="s">
        <v>392</v>
      </c>
      <c r="C114" s="21" t="s">
        <v>52</v>
      </c>
      <c r="D114" s="1" t="s">
        <v>18</v>
      </c>
      <c r="E114" s="1" t="s">
        <v>393</v>
      </c>
      <c r="F114" s="1" t="s">
        <v>115</v>
      </c>
      <c r="G114" s="1" t="s">
        <v>9</v>
      </c>
      <c r="H114" s="23">
        <v>42.180000000000007</v>
      </c>
      <c r="I114" s="23">
        <v>1054.5000000000002</v>
      </c>
      <c r="J114" s="2" t="str">
        <f t="shared" si="2"/>
        <v/>
      </c>
      <c r="K114" s="2" t="str">
        <f>IF(J114="","",I114-J114)</f>
        <v/>
      </c>
      <c r="L114" s="1" t="s">
        <v>73</v>
      </c>
      <c r="M114" s="12"/>
      <c r="N114" s="12"/>
      <c r="O114" s="12"/>
      <c r="P114" s="12"/>
      <c r="Q114" s="12"/>
      <c r="R114" s="12"/>
      <c r="S114" s="12"/>
      <c r="T114" s="12">
        <f>IF(M114="",0,INDEX(Sheet2!A$2:A$6,MATCH(M114,Sheet2!C$2:C$6,0)))</f>
        <v>0</v>
      </c>
      <c r="U114" s="12">
        <f>IF(N114="",0,INDEX(Sheet2!A$2:A$6,MATCH(N114,Sheet2!C$2:C$6,0)))</f>
        <v>0</v>
      </c>
      <c r="V114" s="12">
        <f>IF(O114="",0,INDEX(Sheet2!A$2:A$6,MATCH(O114,Sheet2!C$2:C$6,0)))</f>
        <v>0</v>
      </c>
      <c r="W114" s="12">
        <f>IF(P114="",0,INDEX(Sheet2!A$2:A$6,MATCH(P114,Sheet2!C$2:C$6,0)))</f>
        <v>0</v>
      </c>
      <c r="X114" s="12">
        <f>IF(Q114="",0,INDEX(Sheet2!A$2:A$6,MATCH(Q114,Sheet2!C$2:C$6,0)))</f>
        <v>0</v>
      </c>
      <c r="Y114" s="12">
        <f>IF(R114="",0,INDEX(Sheet2!A$2:A$6,MATCH(R114,Sheet2!C$2:C$6,0)))</f>
        <v>0</v>
      </c>
      <c r="Z114" s="12">
        <f t="shared" si="3"/>
        <v>0</v>
      </c>
      <c r="AA114" s="12" t="str">
        <f>IF(I114&gt;=7500,"E",IF(I114&gt;=6800,"D",IF(I114&gt;=4200,"C",IF(I114&gt;=3000,"B",IF(I114&gt;=750,"A","Below Slab")))))</f>
        <v>A</v>
      </c>
      <c r="AB114" s="19" t="str">
        <f>IF(I114&gt;=7500,"Samsung front-load washing machine",IF(I114&gt;=6800,"Apple iPad",IF(I114&gt;=4200,"Robot Vacuum cleaner",IF(I114&gt;=3000,"Sony - sound bar, woofer and speakers",IF(I114&gt;=750,"Foot massager","Not eligible")))))</f>
        <v>Foot massager</v>
      </c>
    </row>
    <row r="115" spans="1:28" customFormat="1">
      <c r="A115" s="1" t="s">
        <v>394</v>
      </c>
      <c r="B115" s="21" t="s">
        <v>395</v>
      </c>
      <c r="C115" s="21" t="s">
        <v>52</v>
      </c>
      <c r="D115" s="1" t="s">
        <v>18</v>
      </c>
      <c r="E115" s="1" t="s">
        <v>393</v>
      </c>
      <c r="F115" s="1" t="s">
        <v>115</v>
      </c>
      <c r="G115" s="1" t="s">
        <v>9</v>
      </c>
      <c r="H115" s="23">
        <v>412.06000000000006</v>
      </c>
      <c r="I115" s="23">
        <v>15452.250000000004</v>
      </c>
      <c r="J115" s="2" t="str">
        <f t="shared" si="2"/>
        <v/>
      </c>
      <c r="K115" s="2" t="str">
        <f>IF(J115="","",I115-J115)</f>
        <v/>
      </c>
      <c r="L115" s="1" t="s">
        <v>81</v>
      </c>
      <c r="M115" s="12"/>
      <c r="N115" s="12"/>
      <c r="O115" s="12"/>
      <c r="P115" s="12"/>
      <c r="Q115" s="12"/>
      <c r="R115" s="12"/>
      <c r="S115" s="12"/>
      <c r="T115" s="12">
        <f>IF(M115="",0,INDEX(Sheet2!A$2:A$6,MATCH(M115,Sheet2!C$2:C$6,0)))</f>
        <v>0</v>
      </c>
      <c r="U115" s="12">
        <f>IF(N115="",0,INDEX(Sheet2!A$2:A$6,MATCH(N115,Sheet2!C$2:C$6,0)))</f>
        <v>0</v>
      </c>
      <c r="V115" s="12">
        <f>IF(O115="",0,INDEX(Sheet2!A$2:A$6,MATCH(O115,Sheet2!C$2:C$6,0)))</f>
        <v>0</v>
      </c>
      <c r="W115" s="12">
        <f>IF(P115="",0,INDEX(Sheet2!A$2:A$6,MATCH(P115,Sheet2!C$2:C$6,0)))</f>
        <v>0</v>
      </c>
      <c r="X115" s="12">
        <f>IF(Q115="",0,INDEX(Sheet2!A$2:A$6,MATCH(Q115,Sheet2!C$2:C$6,0)))</f>
        <v>0</v>
      </c>
      <c r="Y115" s="12">
        <f>IF(R115="",0,INDEX(Sheet2!A$2:A$6,MATCH(R115,Sheet2!C$2:C$6,0)))</f>
        <v>0</v>
      </c>
      <c r="Z115" s="12">
        <f t="shared" si="3"/>
        <v>0</v>
      </c>
      <c r="AA115" s="12" t="str">
        <f>IF(I115&gt;=7500,"E",IF(I115&gt;=6800,"D",IF(I115&gt;=4200,"C",IF(I115&gt;=3000,"B",IF(I115&gt;=750,"A","Below Slab")))))</f>
        <v>E</v>
      </c>
      <c r="AB115" s="19" t="str">
        <f>IF(I115&gt;=7500,"Samsung front-load washing machine",IF(I115&gt;=6800,"Apple iPad",IF(I115&gt;=4200,"Robot Vacuum cleaner",IF(I115&gt;=3000,"Sony - sound bar, woofer and speakers",IF(I115&gt;=750,"Foot massager","Not eligible")))))</f>
        <v>Samsung front-load washing machine</v>
      </c>
    </row>
    <row r="116" spans="1:28" customFormat="1">
      <c r="A116" s="1" t="s">
        <v>396</v>
      </c>
      <c r="B116" s="21" t="s">
        <v>397</v>
      </c>
      <c r="C116" s="21" t="s">
        <v>52</v>
      </c>
      <c r="D116" s="1" t="s">
        <v>18</v>
      </c>
      <c r="E116" s="1" t="s">
        <v>398</v>
      </c>
      <c r="F116" s="1" t="s">
        <v>115</v>
      </c>
      <c r="G116" s="1" t="s">
        <v>9</v>
      </c>
      <c r="H116" s="23">
        <v>271.94</v>
      </c>
      <c r="I116" s="23">
        <v>10197.75</v>
      </c>
      <c r="J116" s="2" t="str">
        <f t="shared" si="2"/>
        <v/>
      </c>
      <c r="K116" s="2" t="str">
        <f>IF(J116="","",I116-J116)</f>
        <v/>
      </c>
      <c r="L116" s="1" t="s">
        <v>81</v>
      </c>
      <c r="M116" s="12"/>
      <c r="N116" s="12"/>
      <c r="O116" s="12"/>
      <c r="P116" s="12"/>
      <c r="Q116" s="12"/>
      <c r="R116" s="12"/>
      <c r="S116" s="12"/>
      <c r="T116" s="12">
        <f>IF(M116="",0,INDEX(Sheet2!A$2:A$6,MATCH(M116,Sheet2!C$2:C$6,0)))</f>
        <v>0</v>
      </c>
      <c r="U116" s="12">
        <f>IF(N116="",0,INDEX(Sheet2!A$2:A$6,MATCH(N116,Sheet2!C$2:C$6,0)))</f>
        <v>0</v>
      </c>
      <c r="V116" s="12">
        <f>IF(O116="",0,INDEX(Sheet2!A$2:A$6,MATCH(O116,Sheet2!C$2:C$6,0)))</f>
        <v>0</v>
      </c>
      <c r="W116" s="12">
        <f>IF(P116="",0,INDEX(Sheet2!A$2:A$6,MATCH(P116,Sheet2!C$2:C$6,0)))</f>
        <v>0</v>
      </c>
      <c r="X116" s="12">
        <f>IF(Q116="",0,INDEX(Sheet2!A$2:A$6,MATCH(Q116,Sheet2!C$2:C$6,0)))</f>
        <v>0</v>
      </c>
      <c r="Y116" s="12">
        <f>IF(R116="",0,INDEX(Sheet2!A$2:A$6,MATCH(R116,Sheet2!C$2:C$6,0)))</f>
        <v>0</v>
      </c>
      <c r="Z116" s="12">
        <f t="shared" si="3"/>
        <v>0</v>
      </c>
      <c r="AA116" s="12" t="str">
        <f>IF(I116&gt;=7500,"E",IF(I116&gt;=6800,"D",IF(I116&gt;=4200,"C",IF(I116&gt;=3000,"B",IF(I116&gt;=750,"A","Below Slab")))))</f>
        <v>E</v>
      </c>
      <c r="AB116" s="19" t="str">
        <f>IF(I116&gt;=7500,"Samsung front-load washing machine",IF(I116&gt;=6800,"Apple iPad",IF(I116&gt;=4200,"Robot Vacuum cleaner",IF(I116&gt;=3000,"Sony - sound bar, woofer and speakers",IF(I116&gt;=750,"Foot massager","Not eligible")))))</f>
        <v>Samsung front-load washing machine</v>
      </c>
    </row>
    <row r="117" spans="1:28" customFormat="1">
      <c r="A117" s="1" t="s">
        <v>399</v>
      </c>
      <c r="B117" s="21" t="s">
        <v>400</v>
      </c>
      <c r="C117" s="21" t="s">
        <v>52</v>
      </c>
      <c r="D117" s="1" t="s">
        <v>18</v>
      </c>
      <c r="E117" s="1" t="s">
        <v>401</v>
      </c>
      <c r="F117" s="1" t="s">
        <v>115</v>
      </c>
      <c r="G117" s="1" t="s">
        <v>9</v>
      </c>
      <c r="H117" s="23">
        <v>589.11000000000013</v>
      </c>
      <c r="I117" s="23">
        <v>22091.625000000007</v>
      </c>
      <c r="J117" s="2" t="str">
        <f t="shared" si="2"/>
        <v/>
      </c>
      <c r="K117" s="2" t="str">
        <f>IF(J117="","",I117-J117)</f>
        <v/>
      </c>
      <c r="L117" s="1" t="s">
        <v>81</v>
      </c>
      <c r="M117" s="12"/>
      <c r="N117" s="12"/>
      <c r="O117" s="12"/>
      <c r="P117" s="12"/>
      <c r="Q117" s="12"/>
      <c r="R117" s="12"/>
      <c r="S117" s="12"/>
      <c r="T117" s="12">
        <f>IF(M117="",0,INDEX(Sheet2!A$2:A$6,MATCH(M117,Sheet2!C$2:C$6,0)))</f>
        <v>0</v>
      </c>
      <c r="U117" s="12">
        <f>IF(N117="",0,INDEX(Sheet2!A$2:A$6,MATCH(N117,Sheet2!C$2:C$6,0)))</f>
        <v>0</v>
      </c>
      <c r="V117" s="12">
        <f>IF(O117="",0,INDEX(Sheet2!A$2:A$6,MATCH(O117,Sheet2!C$2:C$6,0)))</f>
        <v>0</v>
      </c>
      <c r="W117" s="12">
        <f>IF(P117="",0,INDEX(Sheet2!A$2:A$6,MATCH(P117,Sheet2!C$2:C$6,0)))</f>
        <v>0</v>
      </c>
      <c r="X117" s="12">
        <f>IF(Q117="",0,INDEX(Sheet2!A$2:A$6,MATCH(Q117,Sheet2!C$2:C$6,0)))</f>
        <v>0</v>
      </c>
      <c r="Y117" s="12">
        <f>IF(R117="",0,INDEX(Sheet2!A$2:A$6,MATCH(R117,Sheet2!C$2:C$6,0)))</f>
        <v>0</v>
      </c>
      <c r="Z117" s="12">
        <f t="shared" si="3"/>
        <v>0</v>
      </c>
      <c r="AA117" s="12" t="str">
        <f>IF(I117&gt;=7500,"E",IF(I117&gt;=6800,"D",IF(I117&gt;=4200,"C",IF(I117&gt;=3000,"B",IF(I117&gt;=750,"A","Below Slab")))))</f>
        <v>E</v>
      </c>
      <c r="AB117" s="19" t="str">
        <f>IF(I117&gt;=7500,"Samsung front-load washing machine",IF(I117&gt;=6800,"Apple iPad",IF(I117&gt;=4200,"Robot Vacuum cleaner",IF(I117&gt;=3000,"Sony - sound bar, woofer and speakers",IF(I117&gt;=750,"Foot massager","Not eligible")))))</f>
        <v>Samsung front-load washing machine</v>
      </c>
    </row>
    <row r="118" spans="1:28" customFormat="1">
      <c r="A118" s="1" t="s">
        <v>402</v>
      </c>
      <c r="B118" s="21" t="s">
        <v>403</v>
      </c>
      <c r="C118" s="21" t="s">
        <v>52</v>
      </c>
      <c r="D118" s="1" t="s">
        <v>18</v>
      </c>
      <c r="E118" s="1" t="s">
        <v>354</v>
      </c>
      <c r="F118" s="1" t="s">
        <v>115</v>
      </c>
      <c r="G118" s="1" t="s">
        <v>9</v>
      </c>
      <c r="H118" s="23">
        <v>426.62000000000006</v>
      </c>
      <c r="I118" s="23">
        <v>15998.250000000004</v>
      </c>
      <c r="J118" s="2" t="str">
        <f t="shared" si="2"/>
        <v/>
      </c>
      <c r="K118" s="2" t="str">
        <f>IF(J118="","",I118-J118)</f>
        <v/>
      </c>
      <c r="L118" s="1" t="s">
        <v>81</v>
      </c>
      <c r="M118" s="12"/>
      <c r="N118" s="12"/>
      <c r="O118" s="12"/>
      <c r="P118" s="12"/>
      <c r="Q118" s="12"/>
      <c r="R118" s="12"/>
      <c r="S118" s="12"/>
      <c r="T118" s="12">
        <f>IF(M118="",0,INDEX(Sheet2!A$2:A$6,MATCH(M118,Sheet2!C$2:C$6,0)))</f>
        <v>0</v>
      </c>
      <c r="U118" s="12">
        <f>IF(N118="",0,INDEX(Sheet2!A$2:A$6,MATCH(N118,Sheet2!C$2:C$6,0)))</f>
        <v>0</v>
      </c>
      <c r="V118" s="12">
        <f>IF(O118="",0,INDEX(Sheet2!A$2:A$6,MATCH(O118,Sheet2!C$2:C$6,0)))</f>
        <v>0</v>
      </c>
      <c r="W118" s="12">
        <f>IF(P118="",0,INDEX(Sheet2!A$2:A$6,MATCH(P118,Sheet2!C$2:C$6,0)))</f>
        <v>0</v>
      </c>
      <c r="X118" s="12">
        <f>IF(Q118="",0,INDEX(Sheet2!A$2:A$6,MATCH(Q118,Sheet2!C$2:C$6,0)))</f>
        <v>0</v>
      </c>
      <c r="Y118" s="12">
        <f>IF(R118="",0,INDEX(Sheet2!A$2:A$6,MATCH(R118,Sheet2!C$2:C$6,0)))</f>
        <v>0</v>
      </c>
      <c r="Z118" s="12">
        <f t="shared" si="3"/>
        <v>0</v>
      </c>
      <c r="AA118" s="12" t="str">
        <f>IF(I118&gt;=7500,"E",IF(I118&gt;=6800,"D",IF(I118&gt;=4200,"C",IF(I118&gt;=3000,"B",IF(I118&gt;=750,"A","Below Slab")))))</f>
        <v>E</v>
      </c>
      <c r="AB118" s="19" t="str">
        <f>IF(I118&gt;=7500,"Samsung front-load washing machine",IF(I118&gt;=6800,"Apple iPad",IF(I118&gt;=4200,"Robot Vacuum cleaner",IF(I118&gt;=3000,"Sony - sound bar, woofer and speakers",IF(I118&gt;=750,"Foot massager","Not eligible")))))</f>
        <v>Samsung front-load washing machine</v>
      </c>
    </row>
    <row r="119" spans="1:28" customFormat="1">
      <c r="A119" s="1" t="s">
        <v>404</v>
      </c>
      <c r="B119" s="21" t="s">
        <v>405</v>
      </c>
      <c r="C119" s="21" t="s">
        <v>52</v>
      </c>
      <c r="D119" s="1" t="s">
        <v>18</v>
      </c>
      <c r="E119" s="1" t="s">
        <v>406</v>
      </c>
      <c r="F119" s="1" t="s">
        <v>115</v>
      </c>
      <c r="G119" s="1" t="s">
        <v>9</v>
      </c>
      <c r="H119" s="23">
        <v>80.830000000000013</v>
      </c>
      <c r="I119" s="23">
        <v>2222.8250000000003</v>
      </c>
      <c r="J119" s="2" t="str">
        <f t="shared" si="2"/>
        <v/>
      </c>
      <c r="K119" s="2" t="str">
        <f>IF(J119="","",I119-J119)</f>
        <v/>
      </c>
      <c r="L119" s="1" t="s">
        <v>73</v>
      </c>
      <c r="M119" s="12"/>
      <c r="N119" s="12"/>
      <c r="O119" s="12"/>
      <c r="P119" s="12"/>
      <c r="Q119" s="12"/>
      <c r="R119" s="12"/>
      <c r="S119" s="12"/>
      <c r="T119" s="12">
        <f>IF(M119="",0,INDEX(Sheet2!A$2:A$6,MATCH(M119,Sheet2!C$2:C$6,0)))</f>
        <v>0</v>
      </c>
      <c r="U119" s="12">
        <f>IF(N119="",0,INDEX(Sheet2!A$2:A$6,MATCH(N119,Sheet2!C$2:C$6,0)))</f>
        <v>0</v>
      </c>
      <c r="V119" s="12">
        <f>IF(O119="",0,INDEX(Sheet2!A$2:A$6,MATCH(O119,Sheet2!C$2:C$6,0)))</f>
        <v>0</v>
      </c>
      <c r="W119" s="12">
        <f>IF(P119="",0,INDEX(Sheet2!A$2:A$6,MATCH(P119,Sheet2!C$2:C$6,0)))</f>
        <v>0</v>
      </c>
      <c r="X119" s="12">
        <f>IF(Q119="",0,INDEX(Sheet2!A$2:A$6,MATCH(Q119,Sheet2!C$2:C$6,0)))</f>
        <v>0</v>
      </c>
      <c r="Y119" s="12">
        <f>IF(R119="",0,INDEX(Sheet2!A$2:A$6,MATCH(R119,Sheet2!C$2:C$6,0)))</f>
        <v>0</v>
      </c>
      <c r="Z119" s="12">
        <f t="shared" si="3"/>
        <v>0</v>
      </c>
      <c r="AA119" s="12" t="str">
        <f>IF(I119&gt;=7500,"E",IF(I119&gt;=6800,"D",IF(I119&gt;=4200,"C",IF(I119&gt;=3000,"B",IF(I119&gt;=750,"A","Below Slab")))))</f>
        <v>A</v>
      </c>
      <c r="AB119" s="19" t="str">
        <f>IF(I119&gt;=7500,"Samsung front-load washing machine",IF(I119&gt;=6800,"Apple iPad",IF(I119&gt;=4200,"Robot Vacuum cleaner",IF(I119&gt;=3000,"Sony - sound bar, woofer and speakers",IF(I119&gt;=750,"Foot massager","Not eligible")))))</f>
        <v>Foot massager</v>
      </c>
    </row>
    <row r="120" spans="1:28" customFormat="1">
      <c r="A120" s="1" t="s">
        <v>407</v>
      </c>
      <c r="B120" s="21" t="s">
        <v>408</v>
      </c>
      <c r="C120" s="21" t="s">
        <v>52</v>
      </c>
      <c r="D120" s="1" t="s">
        <v>18</v>
      </c>
      <c r="E120" s="1" t="s">
        <v>354</v>
      </c>
      <c r="F120" s="1" t="s">
        <v>115</v>
      </c>
      <c r="G120" s="1" t="s">
        <v>9</v>
      </c>
      <c r="H120" s="23">
        <v>126.84</v>
      </c>
      <c r="I120" s="23">
        <v>3805.2</v>
      </c>
      <c r="J120" s="2" t="str">
        <f t="shared" si="2"/>
        <v/>
      </c>
      <c r="K120" s="2" t="str">
        <f>IF(J120="","",I120-J120)</f>
        <v/>
      </c>
      <c r="L120" s="1" t="s">
        <v>134</v>
      </c>
      <c r="M120" s="12"/>
      <c r="N120" s="12"/>
      <c r="O120" s="12"/>
      <c r="P120" s="12"/>
      <c r="Q120" s="12"/>
      <c r="R120" s="12"/>
      <c r="S120" s="12"/>
      <c r="T120" s="12">
        <f>IF(M120="",0,INDEX(Sheet2!A$2:A$6,MATCH(M120,Sheet2!C$2:C$6,0)))</f>
        <v>0</v>
      </c>
      <c r="U120" s="12">
        <f>IF(N120="",0,INDEX(Sheet2!A$2:A$6,MATCH(N120,Sheet2!C$2:C$6,0)))</f>
        <v>0</v>
      </c>
      <c r="V120" s="12">
        <f>IF(O120="",0,INDEX(Sheet2!A$2:A$6,MATCH(O120,Sheet2!C$2:C$6,0)))</f>
        <v>0</v>
      </c>
      <c r="W120" s="12">
        <f>IF(P120="",0,INDEX(Sheet2!A$2:A$6,MATCH(P120,Sheet2!C$2:C$6,0)))</f>
        <v>0</v>
      </c>
      <c r="X120" s="12">
        <f>IF(Q120="",0,INDEX(Sheet2!A$2:A$6,MATCH(Q120,Sheet2!C$2:C$6,0)))</f>
        <v>0</v>
      </c>
      <c r="Y120" s="12">
        <f>IF(R120="",0,INDEX(Sheet2!A$2:A$6,MATCH(R120,Sheet2!C$2:C$6,0)))</f>
        <v>0</v>
      </c>
      <c r="Z120" s="12">
        <f t="shared" si="3"/>
        <v>0</v>
      </c>
      <c r="AA120" s="12" t="str">
        <f>IF(I120&gt;=7500,"E",IF(I120&gt;=6800,"D",IF(I120&gt;=4200,"C",IF(I120&gt;=3000,"B",IF(I120&gt;=750,"A","Below Slab")))))</f>
        <v>B</v>
      </c>
      <c r="AB120" s="19" t="str">
        <f>IF(I120&gt;=7500,"Samsung front-load washing machine",IF(I120&gt;=6800,"Apple iPad",IF(I120&gt;=4200,"Robot Vacuum cleaner",IF(I120&gt;=3000,"Sony - sound bar, woofer and speakers",IF(I120&gt;=750,"Foot massager","Not eligible")))))</f>
        <v>Sony - sound bar, woofer and speakers</v>
      </c>
    </row>
    <row r="121" spans="1:28" customFormat="1">
      <c r="A121" s="1" t="s">
        <v>409</v>
      </c>
      <c r="B121" s="21" t="s">
        <v>410</v>
      </c>
      <c r="C121" s="21" t="s">
        <v>52</v>
      </c>
      <c r="D121" s="1" t="s">
        <v>18</v>
      </c>
      <c r="E121" s="1" t="s">
        <v>401</v>
      </c>
      <c r="F121" s="1" t="s">
        <v>115</v>
      </c>
      <c r="G121" s="1" t="s">
        <v>9</v>
      </c>
      <c r="H121" s="23">
        <v>129.08999999999997</v>
      </c>
      <c r="I121" s="23">
        <v>3872.6999999999994</v>
      </c>
      <c r="J121" s="2" t="str">
        <f t="shared" si="2"/>
        <v/>
      </c>
      <c r="K121" s="2" t="str">
        <f>IF(J121="","",I121-J121)</f>
        <v/>
      </c>
      <c r="L121" s="1" t="s">
        <v>134</v>
      </c>
      <c r="M121" s="12"/>
      <c r="N121" s="12"/>
      <c r="O121" s="12"/>
      <c r="P121" s="12"/>
      <c r="Q121" s="12"/>
      <c r="R121" s="12"/>
      <c r="S121" s="12"/>
      <c r="T121" s="12">
        <f>IF(M121="",0,INDEX(Sheet2!A$2:A$6,MATCH(M121,Sheet2!C$2:C$6,0)))</f>
        <v>0</v>
      </c>
      <c r="U121" s="12">
        <f>IF(N121="",0,INDEX(Sheet2!A$2:A$6,MATCH(N121,Sheet2!C$2:C$6,0)))</f>
        <v>0</v>
      </c>
      <c r="V121" s="12">
        <f>IF(O121="",0,INDEX(Sheet2!A$2:A$6,MATCH(O121,Sheet2!C$2:C$6,0)))</f>
        <v>0</v>
      </c>
      <c r="W121" s="12">
        <f>IF(P121="",0,INDEX(Sheet2!A$2:A$6,MATCH(P121,Sheet2!C$2:C$6,0)))</f>
        <v>0</v>
      </c>
      <c r="X121" s="12">
        <f>IF(Q121="",0,INDEX(Sheet2!A$2:A$6,MATCH(Q121,Sheet2!C$2:C$6,0)))</f>
        <v>0</v>
      </c>
      <c r="Y121" s="12">
        <f>IF(R121="",0,INDEX(Sheet2!A$2:A$6,MATCH(R121,Sheet2!C$2:C$6,0)))</f>
        <v>0</v>
      </c>
      <c r="Z121" s="12">
        <f t="shared" si="3"/>
        <v>0</v>
      </c>
      <c r="AA121" s="12" t="str">
        <f>IF(I121&gt;=7500,"E",IF(I121&gt;=6800,"D",IF(I121&gt;=4200,"C",IF(I121&gt;=3000,"B",IF(I121&gt;=750,"A","Below Slab")))))</f>
        <v>B</v>
      </c>
      <c r="AB121" s="19" t="str">
        <f>IF(I121&gt;=7500,"Samsung front-load washing machine",IF(I121&gt;=6800,"Apple iPad",IF(I121&gt;=4200,"Robot Vacuum cleaner",IF(I121&gt;=3000,"Sony - sound bar, woofer and speakers",IF(I121&gt;=750,"Foot massager","Not eligible")))))</f>
        <v>Sony - sound bar, woofer and speakers</v>
      </c>
    </row>
    <row r="122" spans="1:28" customFormat="1">
      <c r="A122" s="1" t="s">
        <v>411</v>
      </c>
      <c r="B122" s="21" t="s">
        <v>412</v>
      </c>
      <c r="C122" s="21" t="s">
        <v>52</v>
      </c>
      <c r="D122" s="1" t="s">
        <v>18</v>
      </c>
      <c r="E122" s="1" t="s">
        <v>406</v>
      </c>
      <c r="F122" s="1" t="s">
        <v>115</v>
      </c>
      <c r="G122" s="1" t="s">
        <v>9</v>
      </c>
      <c r="H122" s="23">
        <v>132.04</v>
      </c>
      <c r="I122" s="23">
        <v>3961.2</v>
      </c>
      <c r="J122" s="2" t="str">
        <f t="shared" si="2"/>
        <v/>
      </c>
      <c r="K122" s="2" t="str">
        <f>IF(J122="","",I122-J122)</f>
        <v/>
      </c>
      <c r="L122" s="1" t="s">
        <v>134</v>
      </c>
      <c r="M122" s="12"/>
      <c r="N122" s="12"/>
      <c r="O122" s="12"/>
      <c r="P122" s="12"/>
      <c r="Q122" s="12"/>
      <c r="R122" s="12"/>
      <c r="S122" s="12"/>
      <c r="T122" s="12">
        <f>IF(M122="",0,INDEX(Sheet2!A$2:A$6,MATCH(M122,Sheet2!C$2:C$6,0)))</f>
        <v>0</v>
      </c>
      <c r="U122" s="12">
        <f>IF(N122="",0,INDEX(Sheet2!A$2:A$6,MATCH(N122,Sheet2!C$2:C$6,0)))</f>
        <v>0</v>
      </c>
      <c r="V122" s="12">
        <f>IF(O122="",0,INDEX(Sheet2!A$2:A$6,MATCH(O122,Sheet2!C$2:C$6,0)))</f>
        <v>0</v>
      </c>
      <c r="W122" s="12">
        <f>IF(P122="",0,INDEX(Sheet2!A$2:A$6,MATCH(P122,Sheet2!C$2:C$6,0)))</f>
        <v>0</v>
      </c>
      <c r="X122" s="12">
        <f>IF(Q122="",0,INDEX(Sheet2!A$2:A$6,MATCH(Q122,Sheet2!C$2:C$6,0)))</f>
        <v>0</v>
      </c>
      <c r="Y122" s="12">
        <f>IF(R122="",0,INDEX(Sheet2!A$2:A$6,MATCH(R122,Sheet2!C$2:C$6,0)))</f>
        <v>0</v>
      </c>
      <c r="Z122" s="12">
        <f t="shared" si="3"/>
        <v>0</v>
      </c>
      <c r="AA122" s="12" t="str">
        <f>IF(I122&gt;=7500,"E",IF(I122&gt;=6800,"D",IF(I122&gt;=4200,"C",IF(I122&gt;=3000,"B",IF(I122&gt;=750,"A","Below Slab")))))</f>
        <v>B</v>
      </c>
      <c r="AB122" s="19" t="str">
        <f>IF(I122&gt;=7500,"Samsung front-load washing machine",IF(I122&gt;=6800,"Apple iPad",IF(I122&gt;=4200,"Robot Vacuum cleaner",IF(I122&gt;=3000,"Sony - sound bar, woofer and speakers",IF(I122&gt;=750,"Foot massager","Not eligible")))))</f>
        <v>Sony - sound bar, woofer and speakers</v>
      </c>
    </row>
    <row r="123" spans="1:28" customFormat="1">
      <c r="A123" s="1" t="s">
        <v>413</v>
      </c>
      <c r="B123" s="21" t="s">
        <v>414</v>
      </c>
      <c r="C123" s="21" t="s">
        <v>52</v>
      </c>
      <c r="D123" s="1" t="s">
        <v>18</v>
      </c>
      <c r="E123" s="1" t="s">
        <v>415</v>
      </c>
      <c r="F123" s="1" t="s">
        <v>115</v>
      </c>
      <c r="G123" s="1" t="s">
        <v>9</v>
      </c>
      <c r="H123" s="23">
        <v>51.17</v>
      </c>
      <c r="I123" s="23">
        <v>1407.1750000000002</v>
      </c>
      <c r="J123" s="2" t="str">
        <f t="shared" si="2"/>
        <v/>
      </c>
      <c r="K123" s="2" t="str">
        <f>IF(J123="","",I123-J123)</f>
        <v/>
      </c>
      <c r="L123" s="1" t="s">
        <v>73</v>
      </c>
      <c r="M123" s="12"/>
      <c r="N123" s="12"/>
      <c r="O123" s="12"/>
      <c r="P123" s="12"/>
      <c r="Q123" s="12"/>
      <c r="R123" s="12"/>
      <c r="S123" s="12"/>
      <c r="T123" s="12">
        <f>IF(M123="",0,INDEX(Sheet2!A$2:A$6,MATCH(M123,Sheet2!C$2:C$6,0)))</f>
        <v>0</v>
      </c>
      <c r="U123" s="12">
        <f>IF(N123="",0,INDEX(Sheet2!A$2:A$6,MATCH(N123,Sheet2!C$2:C$6,0)))</f>
        <v>0</v>
      </c>
      <c r="V123" s="12">
        <f>IF(O123="",0,INDEX(Sheet2!A$2:A$6,MATCH(O123,Sheet2!C$2:C$6,0)))</f>
        <v>0</v>
      </c>
      <c r="W123" s="12">
        <f>IF(P123="",0,INDEX(Sheet2!A$2:A$6,MATCH(P123,Sheet2!C$2:C$6,0)))</f>
        <v>0</v>
      </c>
      <c r="X123" s="12">
        <f>IF(Q123="",0,INDEX(Sheet2!A$2:A$6,MATCH(Q123,Sheet2!C$2:C$6,0)))</f>
        <v>0</v>
      </c>
      <c r="Y123" s="12">
        <f>IF(R123="",0,INDEX(Sheet2!A$2:A$6,MATCH(R123,Sheet2!C$2:C$6,0)))</f>
        <v>0</v>
      </c>
      <c r="Z123" s="12">
        <f t="shared" si="3"/>
        <v>0</v>
      </c>
      <c r="AA123" s="12" t="str">
        <f>IF(I123&gt;=7500,"E",IF(I123&gt;=6800,"D",IF(I123&gt;=4200,"C",IF(I123&gt;=3000,"B",IF(I123&gt;=750,"A","Below Slab")))))</f>
        <v>A</v>
      </c>
      <c r="AB123" s="19" t="str">
        <f>IF(I123&gt;=7500,"Samsung front-load washing machine",IF(I123&gt;=6800,"Apple iPad",IF(I123&gt;=4200,"Robot Vacuum cleaner",IF(I123&gt;=3000,"Sony - sound bar, woofer and speakers",IF(I123&gt;=750,"Foot massager","Not eligible")))))</f>
        <v>Foot massager</v>
      </c>
    </row>
    <row r="124" spans="1:28" customFormat="1">
      <c r="A124" s="1" t="s">
        <v>416</v>
      </c>
      <c r="B124" s="21" t="s">
        <v>417</v>
      </c>
      <c r="C124" s="21" t="s">
        <v>52</v>
      </c>
      <c r="D124" s="1" t="s">
        <v>18</v>
      </c>
      <c r="E124" s="1" t="s">
        <v>401</v>
      </c>
      <c r="F124" s="1" t="s">
        <v>115</v>
      </c>
      <c r="G124" s="1" t="s">
        <v>9</v>
      </c>
      <c r="H124" s="23">
        <v>202.62</v>
      </c>
      <c r="I124" s="23">
        <v>7598.25</v>
      </c>
      <c r="J124" s="2" t="str">
        <f t="shared" si="2"/>
        <v/>
      </c>
      <c r="K124" s="2" t="str">
        <f>IF(J124="","",I124-J124)</f>
        <v/>
      </c>
      <c r="L124" s="1" t="s">
        <v>81</v>
      </c>
      <c r="M124" s="12"/>
      <c r="N124" s="12"/>
      <c r="O124" s="12"/>
      <c r="P124" s="12"/>
      <c r="Q124" s="12"/>
      <c r="R124" s="12"/>
      <c r="S124" s="12"/>
      <c r="T124" s="12">
        <f>IF(M124="",0,INDEX(Sheet2!A$2:A$6,MATCH(M124,Sheet2!C$2:C$6,0)))</f>
        <v>0</v>
      </c>
      <c r="U124" s="12">
        <f>IF(N124="",0,INDEX(Sheet2!A$2:A$6,MATCH(N124,Sheet2!C$2:C$6,0)))</f>
        <v>0</v>
      </c>
      <c r="V124" s="12">
        <f>IF(O124="",0,INDEX(Sheet2!A$2:A$6,MATCH(O124,Sheet2!C$2:C$6,0)))</f>
        <v>0</v>
      </c>
      <c r="W124" s="12">
        <f>IF(P124="",0,INDEX(Sheet2!A$2:A$6,MATCH(P124,Sheet2!C$2:C$6,0)))</f>
        <v>0</v>
      </c>
      <c r="X124" s="12">
        <f>IF(Q124="",0,INDEX(Sheet2!A$2:A$6,MATCH(Q124,Sheet2!C$2:C$6,0)))</f>
        <v>0</v>
      </c>
      <c r="Y124" s="12">
        <f>IF(R124="",0,INDEX(Sheet2!A$2:A$6,MATCH(R124,Sheet2!C$2:C$6,0)))</f>
        <v>0</v>
      </c>
      <c r="Z124" s="12">
        <f t="shared" si="3"/>
        <v>0</v>
      </c>
      <c r="AA124" s="12" t="str">
        <f>IF(I124&gt;=7500,"E",IF(I124&gt;=6800,"D",IF(I124&gt;=4200,"C",IF(I124&gt;=3000,"B",IF(I124&gt;=750,"A","Below Slab")))))</f>
        <v>E</v>
      </c>
      <c r="AB124" s="19" t="str">
        <f>IF(I124&gt;=7500,"Samsung front-load washing machine",IF(I124&gt;=6800,"Apple iPad",IF(I124&gt;=4200,"Robot Vacuum cleaner",IF(I124&gt;=3000,"Sony - sound bar, woofer and speakers",IF(I124&gt;=750,"Foot massager","Not eligible")))))</f>
        <v>Samsung front-load washing machine</v>
      </c>
    </row>
    <row r="125" spans="1:28" customFormat="1">
      <c r="A125" s="1" t="s">
        <v>418</v>
      </c>
      <c r="B125" s="21" t="s">
        <v>419</v>
      </c>
      <c r="C125" s="21" t="s">
        <v>52</v>
      </c>
      <c r="D125" s="1" t="s">
        <v>18</v>
      </c>
      <c r="E125" s="1" t="s">
        <v>398</v>
      </c>
      <c r="F125" s="1" t="s">
        <v>115</v>
      </c>
      <c r="G125" s="1" t="s">
        <v>9</v>
      </c>
      <c r="H125" s="23">
        <v>120.69999999999999</v>
      </c>
      <c r="I125" s="23">
        <v>3620.9999999999995</v>
      </c>
      <c r="J125" s="2" t="str">
        <f t="shared" si="2"/>
        <v/>
      </c>
      <c r="K125" s="2" t="str">
        <f>IF(J125="","",I125-J125)</f>
        <v/>
      </c>
      <c r="L125" s="1" t="s">
        <v>134</v>
      </c>
      <c r="M125" s="12"/>
      <c r="N125" s="12"/>
      <c r="O125" s="12"/>
      <c r="P125" s="12"/>
      <c r="Q125" s="12"/>
      <c r="R125" s="12"/>
      <c r="S125" s="12"/>
      <c r="T125" s="12">
        <f>IF(M125="",0,INDEX(Sheet2!A$2:A$6,MATCH(M125,Sheet2!C$2:C$6,0)))</f>
        <v>0</v>
      </c>
      <c r="U125" s="12">
        <f>IF(N125="",0,INDEX(Sheet2!A$2:A$6,MATCH(N125,Sheet2!C$2:C$6,0)))</f>
        <v>0</v>
      </c>
      <c r="V125" s="12">
        <f>IF(O125="",0,INDEX(Sheet2!A$2:A$6,MATCH(O125,Sheet2!C$2:C$6,0)))</f>
        <v>0</v>
      </c>
      <c r="W125" s="12">
        <f>IF(P125="",0,INDEX(Sheet2!A$2:A$6,MATCH(P125,Sheet2!C$2:C$6,0)))</f>
        <v>0</v>
      </c>
      <c r="X125" s="12">
        <f>IF(Q125="",0,INDEX(Sheet2!A$2:A$6,MATCH(Q125,Sheet2!C$2:C$6,0)))</f>
        <v>0</v>
      </c>
      <c r="Y125" s="12">
        <f>IF(R125="",0,INDEX(Sheet2!A$2:A$6,MATCH(R125,Sheet2!C$2:C$6,0)))</f>
        <v>0</v>
      </c>
      <c r="Z125" s="12">
        <f t="shared" si="3"/>
        <v>0</v>
      </c>
      <c r="AA125" s="12" t="str">
        <f>IF(I125&gt;=7500,"E",IF(I125&gt;=6800,"D",IF(I125&gt;=4200,"C",IF(I125&gt;=3000,"B",IF(I125&gt;=750,"A","Below Slab")))))</f>
        <v>B</v>
      </c>
      <c r="AB125" s="19" t="str">
        <f>IF(I125&gt;=7500,"Samsung front-load washing machine",IF(I125&gt;=6800,"Apple iPad",IF(I125&gt;=4200,"Robot Vacuum cleaner",IF(I125&gt;=3000,"Sony - sound bar, woofer and speakers",IF(I125&gt;=750,"Foot massager","Not eligible")))))</f>
        <v>Sony - sound bar, woofer and speakers</v>
      </c>
    </row>
    <row r="126" spans="1:28" customFormat="1">
      <c r="A126" s="1" t="s">
        <v>420</v>
      </c>
      <c r="B126" s="21" t="s">
        <v>421</v>
      </c>
      <c r="C126" s="21" t="s">
        <v>52</v>
      </c>
      <c r="D126" s="1" t="s">
        <v>18</v>
      </c>
      <c r="E126" s="1" t="s">
        <v>354</v>
      </c>
      <c r="F126" s="1" t="s">
        <v>115</v>
      </c>
      <c r="G126" s="1" t="s">
        <v>9</v>
      </c>
      <c r="H126" s="23">
        <v>71.56</v>
      </c>
      <c r="I126" s="23">
        <v>1967.9</v>
      </c>
      <c r="J126" s="2" t="str">
        <f t="shared" si="2"/>
        <v/>
      </c>
      <c r="K126" s="2" t="str">
        <f>IF(J126="","",I126-J126)</f>
        <v/>
      </c>
      <c r="L126" s="1" t="s">
        <v>73</v>
      </c>
      <c r="M126" s="12"/>
      <c r="N126" s="12"/>
      <c r="O126" s="12"/>
      <c r="P126" s="12"/>
      <c r="Q126" s="12"/>
      <c r="R126" s="12"/>
      <c r="S126" s="12"/>
      <c r="T126" s="12">
        <f>IF(M126="",0,INDEX(Sheet2!A$2:A$6,MATCH(M126,Sheet2!C$2:C$6,0)))</f>
        <v>0</v>
      </c>
      <c r="U126" s="12">
        <f>IF(N126="",0,INDEX(Sheet2!A$2:A$6,MATCH(N126,Sheet2!C$2:C$6,0)))</f>
        <v>0</v>
      </c>
      <c r="V126" s="12">
        <f>IF(O126="",0,INDEX(Sheet2!A$2:A$6,MATCH(O126,Sheet2!C$2:C$6,0)))</f>
        <v>0</v>
      </c>
      <c r="W126" s="12">
        <f>IF(P126="",0,INDEX(Sheet2!A$2:A$6,MATCH(P126,Sheet2!C$2:C$6,0)))</f>
        <v>0</v>
      </c>
      <c r="X126" s="12">
        <f>IF(Q126="",0,INDEX(Sheet2!A$2:A$6,MATCH(Q126,Sheet2!C$2:C$6,0)))</f>
        <v>0</v>
      </c>
      <c r="Y126" s="12">
        <f>IF(R126="",0,INDEX(Sheet2!A$2:A$6,MATCH(R126,Sheet2!C$2:C$6,0)))</f>
        <v>0</v>
      </c>
      <c r="Z126" s="12">
        <f t="shared" si="3"/>
        <v>0</v>
      </c>
      <c r="AA126" s="12" t="str">
        <f>IF(I126&gt;=7500,"E",IF(I126&gt;=6800,"D",IF(I126&gt;=4200,"C",IF(I126&gt;=3000,"B",IF(I126&gt;=750,"A","Below Slab")))))</f>
        <v>A</v>
      </c>
      <c r="AB126" s="19" t="str">
        <f>IF(I126&gt;=7500,"Samsung front-load washing machine",IF(I126&gt;=6800,"Apple iPad",IF(I126&gt;=4200,"Robot Vacuum cleaner",IF(I126&gt;=3000,"Sony - sound bar, woofer and speakers",IF(I126&gt;=750,"Foot massager","Not eligible")))))</f>
        <v>Foot massager</v>
      </c>
    </row>
    <row r="127" spans="1:28" customFormat="1">
      <c r="A127" s="1" t="s">
        <v>422</v>
      </c>
      <c r="B127" s="21" t="s">
        <v>423</v>
      </c>
      <c r="C127" s="21" t="s">
        <v>54</v>
      </c>
      <c r="D127" s="1" t="s">
        <v>18</v>
      </c>
      <c r="E127" s="1" t="s">
        <v>424</v>
      </c>
      <c r="F127" s="1" t="s">
        <v>115</v>
      </c>
      <c r="G127" s="1" t="s">
        <v>9</v>
      </c>
      <c r="H127" s="23">
        <v>242.01999999999998</v>
      </c>
      <c r="I127" s="23">
        <v>9075.75</v>
      </c>
      <c r="J127" s="2" t="str">
        <f t="shared" si="2"/>
        <v/>
      </c>
      <c r="K127" s="2" t="str">
        <f>IF(J127="","",I127-J127)</f>
        <v/>
      </c>
      <c r="L127" s="1" t="s">
        <v>81</v>
      </c>
      <c r="M127" s="12"/>
      <c r="N127" s="12"/>
      <c r="O127" s="12"/>
      <c r="P127" s="12"/>
      <c r="Q127" s="12"/>
      <c r="R127" s="12"/>
      <c r="S127" s="12"/>
      <c r="T127" s="12">
        <f>IF(M127="",0,INDEX(Sheet2!A$2:A$6,MATCH(M127,Sheet2!C$2:C$6,0)))</f>
        <v>0</v>
      </c>
      <c r="U127" s="12">
        <f>IF(N127="",0,INDEX(Sheet2!A$2:A$6,MATCH(N127,Sheet2!C$2:C$6,0)))</f>
        <v>0</v>
      </c>
      <c r="V127" s="12">
        <f>IF(O127="",0,INDEX(Sheet2!A$2:A$6,MATCH(O127,Sheet2!C$2:C$6,0)))</f>
        <v>0</v>
      </c>
      <c r="W127" s="12">
        <f>IF(P127="",0,INDEX(Sheet2!A$2:A$6,MATCH(P127,Sheet2!C$2:C$6,0)))</f>
        <v>0</v>
      </c>
      <c r="X127" s="12">
        <f>IF(Q127="",0,INDEX(Sheet2!A$2:A$6,MATCH(Q127,Sheet2!C$2:C$6,0)))</f>
        <v>0</v>
      </c>
      <c r="Y127" s="12">
        <f>IF(R127="",0,INDEX(Sheet2!A$2:A$6,MATCH(R127,Sheet2!C$2:C$6,0)))</f>
        <v>0</v>
      </c>
      <c r="Z127" s="12">
        <f t="shared" si="3"/>
        <v>0</v>
      </c>
      <c r="AA127" s="12" t="str">
        <f>IF(I127&gt;=7500,"E",IF(I127&gt;=6800,"D",IF(I127&gt;=4200,"C",IF(I127&gt;=3000,"B",IF(I127&gt;=750,"A","Below Slab")))))</f>
        <v>E</v>
      </c>
      <c r="AB127" s="19" t="str">
        <f>IF(I127&gt;=7500,"Samsung front-load washing machine",IF(I127&gt;=6800,"Apple iPad",IF(I127&gt;=4200,"Robot Vacuum cleaner",IF(I127&gt;=3000,"Sony - sound bar, woofer and speakers",IF(I127&gt;=750,"Foot massager","Not eligible")))))</f>
        <v>Samsung front-load washing machine</v>
      </c>
    </row>
    <row r="128" spans="1:28" customFormat="1">
      <c r="A128" s="1" t="s">
        <v>425</v>
      </c>
      <c r="B128" s="21" t="s">
        <v>426</v>
      </c>
      <c r="C128" s="21" t="s">
        <v>54</v>
      </c>
      <c r="D128" s="1" t="s">
        <v>18</v>
      </c>
      <c r="E128" s="1" t="s">
        <v>424</v>
      </c>
      <c r="F128" s="1" t="s">
        <v>115</v>
      </c>
      <c r="G128" s="1" t="s">
        <v>9</v>
      </c>
      <c r="H128" s="23">
        <v>292.14000000000004</v>
      </c>
      <c r="I128" s="23">
        <v>10955.250000000002</v>
      </c>
      <c r="J128" s="2" t="str">
        <f t="shared" si="2"/>
        <v/>
      </c>
      <c r="K128" s="2" t="str">
        <f>IF(J128="","",I128-J128)</f>
        <v/>
      </c>
      <c r="L128" s="1" t="s">
        <v>81</v>
      </c>
      <c r="M128" s="12"/>
      <c r="N128" s="12"/>
      <c r="O128" s="12"/>
      <c r="P128" s="12"/>
      <c r="Q128" s="12"/>
      <c r="R128" s="12"/>
      <c r="S128" s="12"/>
      <c r="T128" s="12">
        <f>IF(M128="",0,INDEX(Sheet2!A$2:A$6,MATCH(M128,Sheet2!C$2:C$6,0)))</f>
        <v>0</v>
      </c>
      <c r="U128" s="12">
        <f>IF(N128="",0,INDEX(Sheet2!A$2:A$6,MATCH(N128,Sheet2!C$2:C$6,0)))</f>
        <v>0</v>
      </c>
      <c r="V128" s="12">
        <f>IF(O128="",0,INDEX(Sheet2!A$2:A$6,MATCH(O128,Sheet2!C$2:C$6,0)))</f>
        <v>0</v>
      </c>
      <c r="W128" s="12">
        <f>IF(P128="",0,INDEX(Sheet2!A$2:A$6,MATCH(P128,Sheet2!C$2:C$6,0)))</f>
        <v>0</v>
      </c>
      <c r="X128" s="12">
        <f>IF(Q128="",0,INDEX(Sheet2!A$2:A$6,MATCH(Q128,Sheet2!C$2:C$6,0)))</f>
        <v>0</v>
      </c>
      <c r="Y128" s="12">
        <f>IF(R128="",0,INDEX(Sheet2!A$2:A$6,MATCH(R128,Sheet2!C$2:C$6,0)))</f>
        <v>0</v>
      </c>
      <c r="Z128" s="12">
        <f t="shared" si="3"/>
        <v>0</v>
      </c>
      <c r="AA128" s="12" t="str">
        <f>IF(I128&gt;=7500,"E",IF(I128&gt;=6800,"D",IF(I128&gt;=4200,"C",IF(I128&gt;=3000,"B",IF(I128&gt;=750,"A","Below Slab")))))</f>
        <v>E</v>
      </c>
      <c r="AB128" s="19" t="str">
        <f>IF(I128&gt;=7500,"Samsung front-load washing machine",IF(I128&gt;=6800,"Apple iPad",IF(I128&gt;=4200,"Robot Vacuum cleaner",IF(I128&gt;=3000,"Sony - sound bar, woofer and speakers",IF(I128&gt;=750,"Foot massager","Not eligible")))))</f>
        <v>Samsung front-load washing machine</v>
      </c>
    </row>
    <row r="129" spans="1:28" customFormat="1">
      <c r="A129" s="1" t="s">
        <v>427</v>
      </c>
      <c r="B129" s="21" t="s">
        <v>428</v>
      </c>
      <c r="C129" s="21" t="s">
        <v>54</v>
      </c>
      <c r="D129" s="1" t="s">
        <v>18</v>
      </c>
      <c r="E129" s="1" t="s">
        <v>429</v>
      </c>
      <c r="F129" s="1" t="s">
        <v>115</v>
      </c>
      <c r="G129" s="1" t="s">
        <v>9</v>
      </c>
      <c r="H129" s="23">
        <v>219.48000000000002</v>
      </c>
      <c r="I129" s="23">
        <v>8230.5</v>
      </c>
      <c r="J129" s="2" t="str">
        <f t="shared" si="2"/>
        <v/>
      </c>
      <c r="K129" s="2" t="str">
        <f>IF(J129="","",I129-J129)</f>
        <v/>
      </c>
      <c r="L129" s="1" t="s">
        <v>81</v>
      </c>
      <c r="M129" s="12"/>
      <c r="N129" s="12"/>
      <c r="O129" s="12"/>
      <c r="P129" s="12"/>
      <c r="Q129" s="12"/>
      <c r="R129" s="12"/>
      <c r="S129" s="12"/>
      <c r="T129" s="12">
        <f>IF(M129="",0,INDEX(Sheet2!A$2:A$6,MATCH(M129,Sheet2!C$2:C$6,0)))</f>
        <v>0</v>
      </c>
      <c r="U129" s="12">
        <f>IF(N129="",0,INDEX(Sheet2!A$2:A$6,MATCH(N129,Sheet2!C$2:C$6,0)))</f>
        <v>0</v>
      </c>
      <c r="V129" s="12">
        <f>IF(O129="",0,INDEX(Sheet2!A$2:A$6,MATCH(O129,Sheet2!C$2:C$6,0)))</f>
        <v>0</v>
      </c>
      <c r="W129" s="12">
        <f>IF(P129="",0,INDEX(Sheet2!A$2:A$6,MATCH(P129,Sheet2!C$2:C$6,0)))</f>
        <v>0</v>
      </c>
      <c r="X129" s="12">
        <f>IF(Q129="",0,INDEX(Sheet2!A$2:A$6,MATCH(Q129,Sheet2!C$2:C$6,0)))</f>
        <v>0</v>
      </c>
      <c r="Y129" s="12">
        <f>IF(R129="",0,INDEX(Sheet2!A$2:A$6,MATCH(R129,Sheet2!C$2:C$6,0)))</f>
        <v>0</v>
      </c>
      <c r="Z129" s="12">
        <f t="shared" si="3"/>
        <v>0</v>
      </c>
      <c r="AA129" s="12" t="str">
        <f>IF(I129&gt;=7500,"E",IF(I129&gt;=6800,"D",IF(I129&gt;=4200,"C",IF(I129&gt;=3000,"B",IF(I129&gt;=750,"A","Below Slab")))))</f>
        <v>E</v>
      </c>
      <c r="AB129" s="19" t="str">
        <f>IF(I129&gt;=7500,"Samsung front-load washing machine",IF(I129&gt;=6800,"Apple iPad",IF(I129&gt;=4200,"Robot Vacuum cleaner",IF(I129&gt;=3000,"Sony - sound bar, woofer and speakers",IF(I129&gt;=750,"Foot massager","Not eligible")))))</f>
        <v>Samsung front-load washing machine</v>
      </c>
    </row>
    <row r="130" spans="1:28" customFormat="1">
      <c r="A130" s="1" t="s">
        <v>430</v>
      </c>
      <c r="B130" s="21" t="s">
        <v>431</v>
      </c>
      <c r="C130" s="21" t="s">
        <v>54</v>
      </c>
      <c r="D130" s="1" t="s">
        <v>18</v>
      </c>
      <c r="E130" s="1" t="s">
        <v>338</v>
      </c>
      <c r="F130" s="1" t="s">
        <v>115</v>
      </c>
      <c r="G130" s="1" t="s">
        <v>9</v>
      </c>
      <c r="H130" s="23">
        <v>53.589999999999996</v>
      </c>
      <c r="I130" s="23">
        <v>1473.7250000000001</v>
      </c>
      <c r="J130" s="2" t="str">
        <f t="shared" si="2"/>
        <v/>
      </c>
      <c r="K130" s="2" t="str">
        <f>IF(J130="","",I130-J130)</f>
        <v/>
      </c>
      <c r="L130" s="1" t="s">
        <v>73</v>
      </c>
      <c r="M130" s="12"/>
      <c r="N130" s="12"/>
      <c r="O130" s="12"/>
      <c r="P130" s="12"/>
      <c r="Q130" s="12"/>
      <c r="R130" s="12"/>
      <c r="S130" s="12"/>
      <c r="T130" s="12">
        <f>IF(M130="",0,INDEX(Sheet2!A$2:A$6,MATCH(M130,Sheet2!C$2:C$6,0)))</f>
        <v>0</v>
      </c>
      <c r="U130" s="12">
        <f>IF(N130="",0,INDEX(Sheet2!A$2:A$6,MATCH(N130,Sheet2!C$2:C$6,0)))</f>
        <v>0</v>
      </c>
      <c r="V130" s="12">
        <f>IF(O130="",0,INDEX(Sheet2!A$2:A$6,MATCH(O130,Sheet2!C$2:C$6,0)))</f>
        <v>0</v>
      </c>
      <c r="W130" s="12">
        <f>IF(P130="",0,INDEX(Sheet2!A$2:A$6,MATCH(P130,Sheet2!C$2:C$6,0)))</f>
        <v>0</v>
      </c>
      <c r="X130" s="12">
        <f>IF(Q130="",0,INDEX(Sheet2!A$2:A$6,MATCH(Q130,Sheet2!C$2:C$6,0)))</f>
        <v>0</v>
      </c>
      <c r="Y130" s="12">
        <f>IF(R130="",0,INDEX(Sheet2!A$2:A$6,MATCH(R130,Sheet2!C$2:C$6,0)))</f>
        <v>0</v>
      </c>
      <c r="Z130" s="12">
        <f t="shared" si="3"/>
        <v>0</v>
      </c>
      <c r="AA130" s="12" t="str">
        <f>IF(I130&gt;=7500,"E",IF(I130&gt;=6800,"D",IF(I130&gt;=4200,"C",IF(I130&gt;=3000,"B",IF(I130&gt;=750,"A","Below Slab")))))</f>
        <v>A</v>
      </c>
      <c r="AB130" s="19" t="str">
        <f>IF(I130&gt;=7500,"Samsung front-load washing machine",IF(I130&gt;=6800,"Apple iPad",IF(I130&gt;=4200,"Robot Vacuum cleaner",IF(I130&gt;=3000,"Sony - sound bar, woofer and speakers",IF(I130&gt;=750,"Foot massager","Not eligible")))))</f>
        <v>Foot massager</v>
      </c>
    </row>
    <row r="131" spans="1:28" customFormat="1">
      <c r="A131" s="1" t="s">
        <v>432</v>
      </c>
      <c r="B131" s="21" t="s">
        <v>433</v>
      </c>
      <c r="C131" s="21" t="s">
        <v>54</v>
      </c>
      <c r="D131" s="1" t="s">
        <v>18</v>
      </c>
      <c r="E131" s="1" t="s">
        <v>424</v>
      </c>
      <c r="F131" s="1" t="s">
        <v>115</v>
      </c>
      <c r="G131" s="1" t="s">
        <v>9</v>
      </c>
      <c r="H131" s="23">
        <v>231.01</v>
      </c>
      <c r="I131" s="23">
        <v>8662.875</v>
      </c>
      <c r="J131" s="2" t="str">
        <f t="shared" ref="J131:J194" si="4">IF(SUM(T131:Z131)=0,"",SUM(T131:Z131))</f>
        <v/>
      </c>
      <c r="K131" s="2" t="str">
        <f>IF(J131="","",I131-J131)</f>
        <v/>
      </c>
      <c r="L131" s="1" t="s">
        <v>81</v>
      </c>
      <c r="M131" s="12"/>
      <c r="N131" s="12"/>
      <c r="O131" s="12"/>
      <c r="P131" s="12"/>
      <c r="Q131" s="12"/>
      <c r="R131" s="12"/>
      <c r="S131" s="12"/>
      <c r="T131" s="12">
        <f>IF(M131="",0,INDEX(Sheet2!A$2:A$6,MATCH(M131,Sheet2!C$2:C$6,0)))</f>
        <v>0</v>
      </c>
      <c r="U131" s="12">
        <f>IF(N131="",0,INDEX(Sheet2!A$2:A$6,MATCH(N131,Sheet2!C$2:C$6,0)))</f>
        <v>0</v>
      </c>
      <c r="V131" s="12">
        <f>IF(O131="",0,INDEX(Sheet2!A$2:A$6,MATCH(O131,Sheet2!C$2:C$6,0)))</f>
        <v>0</v>
      </c>
      <c r="W131" s="12">
        <f>IF(P131="",0,INDEX(Sheet2!A$2:A$6,MATCH(P131,Sheet2!C$2:C$6,0)))</f>
        <v>0</v>
      </c>
      <c r="X131" s="12">
        <f>IF(Q131="",0,INDEX(Sheet2!A$2:A$6,MATCH(Q131,Sheet2!C$2:C$6,0)))</f>
        <v>0</v>
      </c>
      <c r="Y131" s="12">
        <f>IF(R131="",0,INDEX(Sheet2!A$2:A$6,MATCH(R131,Sheet2!C$2:C$6,0)))</f>
        <v>0</v>
      </c>
      <c r="Z131" s="12">
        <f t="shared" ref="Z131:Z194" si="5">IF(S131="Yes",I131-SUM(T131:Y131),0)</f>
        <v>0</v>
      </c>
      <c r="AA131" s="12" t="str">
        <f>IF(I131&gt;=7500,"E",IF(I131&gt;=6800,"D",IF(I131&gt;=4200,"C",IF(I131&gt;=3000,"B",IF(I131&gt;=750,"A","Below Slab")))))</f>
        <v>E</v>
      </c>
      <c r="AB131" s="19" t="str">
        <f>IF(I131&gt;=7500,"Samsung front-load washing machine",IF(I131&gt;=6800,"Apple iPad",IF(I131&gt;=4200,"Robot Vacuum cleaner",IF(I131&gt;=3000,"Sony - sound bar, woofer and speakers",IF(I131&gt;=750,"Foot massager","Not eligible")))))</f>
        <v>Samsung front-load washing machine</v>
      </c>
    </row>
    <row r="132" spans="1:28" customFormat="1">
      <c r="A132" s="1" t="s">
        <v>434</v>
      </c>
      <c r="B132" s="21" t="s">
        <v>435</v>
      </c>
      <c r="C132" s="21" t="s">
        <v>54</v>
      </c>
      <c r="D132" s="1" t="s">
        <v>18</v>
      </c>
      <c r="E132" s="1" t="s">
        <v>436</v>
      </c>
      <c r="F132" s="1" t="s">
        <v>115</v>
      </c>
      <c r="G132" s="1" t="s">
        <v>9</v>
      </c>
      <c r="H132" s="23">
        <v>305.24</v>
      </c>
      <c r="I132" s="23">
        <v>11446.5</v>
      </c>
      <c r="J132" s="2" t="str">
        <f t="shared" si="4"/>
        <v/>
      </c>
      <c r="K132" s="2" t="str">
        <f>IF(J132="","",I132-J132)</f>
        <v/>
      </c>
      <c r="L132" s="1" t="s">
        <v>81</v>
      </c>
      <c r="M132" s="12"/>
      <c r="N132" s="12"/>
      <c r="O132" s="12"/>
      <c r="P132" s="12"/>
      <c r="Q132" s="12"/>
      <c r="R132" s="12"/>
      <c r="S132" s="12"/>
      <c r="T132" s="12">
        <f>IF(M132="",0,INDEX(Sheet2!A$2:A$6,MATCH(M132,Sheet2!C$2:C$6,0)))</f>
        <v>0</v>
      </c>
      <c r="U132" s="12">
        <f>IF(N132="",0,INDEX(Sheet2!A$2:A$6,MATCH(N132,Sheet2!C$2:C$6,0)))</f>
        <v>0</v>
      </c>
      <c r="V132" s="12">
        <f>IF(O132="",0,INDEX(Sheet2!A$2:A$6,MATCH(O132,Sheet2!C$2:C$6,0)))</f>
        <v>0</v>
      </c>
      <c r="W132" s="12">
        <f>IF(P132="",0,INDEX(Sheet2!A$2:A$6,MATCH(P132,Sheet2!C$2:C$6,0)))</f>
        <v>0</v>
      </c>
      <c r="X132" s="12">
        <f>IF(Q132="",0,INDEX(Sheet2!A$2:A$6,MATCH(Q132,Sheet2!C$2:C$6,0)))</f>
        <v>0</v>
      </c>
      <c r="Y132" s="12">
        <f>IF(R132="",0,INDEX(Sheet2!A$2:A$6,MATCH(R132,Sheet2!C$2:C$6,0)))</f>
        <v>0</v>
      </c>
      <c r="Z132" s="12">
        <f t="shared" si="5"/>
        <v>0</v>
      </c>
      <c r="AA132" s="12" t="str">
        <f>IF(I132&gt;=7500,"E",IF(I132&gt;=6800,"D",IF(I132&gt;=4200,"C",IF(I132&gt;=3000,"B",IF(I132&gt;=750,"A","Below Slab")))))</f>
        <v>E</v>
      </c>
      <c r="AB132" s="19" t="str">
        <f>IF(I132&gt;=7500,"Samsung front-load washing machine",IF(I132&gt;=6800,"Apple iPad",IF(I132&gt;=4200,"Robot Vacuum cleaner",IF(I132&gt;=3000,"Sony - sound bar, woofer and speakers",IF(I132&gt;=750,"Foot massager","Not eligible")))))</f>
        <v>Samsung front-load washing machine</v>
      </c>
    </row>
    <row r="133" spans="1:28" customFormat="1">
      <c r="A133" s="1" t="s">
        <v>437</v>
      </c>
      <c r="B133" s="21" t="s">
        <v>438</v>
      </c>
      <c r="C133" s="21" t="s">
        <v>54</v>
      </c>
      <c r="D133" s="1" t="s">
        <v>18</v>
      </c>
      <c r="E133" s="1" t="s">
        <v>439</v>
      </c>
      <c r="F133" s="1" t="s">
        <v>115</v>
      </c>
      <c r="G133" s="1" t="s">
        <v>9</v>
      </c>
      <c r="H133" s="23">
        <v>100.11000000000001</v>
      </c>
      <c r="I133" s="23">
        <v>3003.3000000000006</v>
      </c>
      <c r="J133" s="2" t="str">
        <f t="shared" si="4"/>
        <v/>
      </c>
      <c r="K133" s="2" t="str">
        <f>IF(J133="","",I133-J133)</f>
        <v/>
      </c>
      <c r="L133" s="1" t="s">
        <v>134</v>
      </c>
      <c r="M133" s="12"/>
      <c r="N133" s="12"/>
      <c r="O133" s="12"/>
      <c r="P133" s="12"/>
      <c r="Q133" s="12"/>
      <c r="R133" s="12"/>
      <c r="S133" s="12"/>
      <c r="T133" s="12">
        <f>IF(M133="",0,INDEX(Sheet2!A$2:A$6,MATCH(M133,Sheet2!C$2:C$6,0)))</f>
        <v>0</v>
      </c>
      <c r="U133" s="12">
        <f>IF(N133="",0,INDEX(Sheet2!A$2:A$6,MATCH(N133,Sheet2!C$2:C$6,0)))</f>
        <v>0</v>
      </c>
      <c r="V133" s="12">
        <f>IF(O133="",0,INDEX(Sheet2!A$2:A$6,MATCH(O133,Sheet2!C$2:C$6,0)))</f>
        <v>0</v>
      </c>
      <c r="W133" s="12">
        <f>IF(P133="",0,INDEX(Sheet2!A$2:A$6,MATCH(P133,Sheet2!C$2:C$6,0)))</f>
        <v>0</v>
      </c>
      <c r="X133" s="12">
        <f>IF(Q133="",0,INDEX(Sheet2!A$2:A$6,MATCH(Q133,Sheet2!C$2:C$6,0)))</f>
        <v>0</v>
      </c>
      <c r="Y133" s="12">
        <f>IF(R133="",0,INDEX(Sheet2!A$2:A$6,MATCH(R133,Sheet2!C$2:C$6,0)))</f>
        <v>0</v>
      </c>
      <c r="Z133" s="12">
        <f t="shared" si="5"/>
        <v>0</v>
      </c>
      <c r="AA133" s="12" t="str">
        <f>IF(I133&gt;=7500,"E",IF(I133&gt;=6800,"D",IF(I133&gt;=4200,"C",IF(I133&gt;=3000,"B",IF(I133&gt;=750,"A","Below Slab")))))</f>
        <v>B</v>
      </c>
      <c r="AB133" s="19" t="str">
        <f>IF(I133&gt;=7500,"Samsung front-load washing machine",IF(I133&gt;=6800,"Apple iPad",IF(I133&gt;=4200,"Robot Vacuum cleaner",IF(I133&gt;=3000,"Sony - sound bar, woofer and speakers",IF(I133&gt;=750,"Foot massager","Not eligible")))))</f>
        <v>Sony - sound bar, woofer and speakers</v>
      </c>
    </row>
    <row r="134" spans="1:28" customFormat="1">
      <c r="A134" s="1" t="s">
        <v>440</v>
      </c>
      <c r="B134" s="21" t="s">
        <v>441</v>
      </c>
      <c r="C134" s="21" t="s">
        <v>54</v>
      </c>
      <c r="D134" s="1" t="s">
        <v>18</v>
      </c>
      <c r="E134" s="1" t="s">
        <v>442</v>
      </c>
      <c r="F134" s="1" t="s">
        <v>115</v>
      </c>
      <c r="G134" s="1" t="s">
        <v>9</v>
      </c>
      <c r="H134" s="23">
        <v>336.04999999999995</v>
      </c>
      <c r="I134" s="23">
        <v>12601.874999999996</v>
      </c>
      <c r="J134" s="2" t="str">
        <f t="shared" si="4"/>
        <v/>
      </c>
      <c r="K134" s="2" t="str">
        <f>IF(J134="","",I134-J134)</f>
        <v/>
      </c>
      <c r="L134" s="1" t="s">
        <v>81</v>
      </c>
      <c r="M134" s="12"/>
      <c r="N134" s="12"/>
      <c r="O134" s="12"/>
      <c r="P134" s="12"/>
      <c r="Q134" s="12"/>
      <c r="R134" s="12"/>
      <c r="S134" s="12"/>
      <c r="T134" s="12">
        <f>IF(M134="",0,INDEX(Sheet2!A$2:A$6,MATCH(M134,Sheet2!C$2:C$6,0)))</f>
        <v>0</v>
      </c>
      <c r="U134" s="12">
        <f>IF(N134="",0,INDEX(Sheet2!A$2:A$6,MATCH(N134,Sheet2!C$2:C$6,0)))</f>
        <v>0</v>
      </c>
      <c r="V134" s="12">
        <f>IF(O134="",0,INDEX(Sheet2!A$2:A$6,MATCH(O134,Sheet2!C$2:C$6,0)))</f>
        <v>0</v>
      </c>
      <c r="W134" s="12">
        <f>IF(P134="",0,INDEX(Sheet2!A$2:A$6,MATCH(P134,Sheet2!C$2:C$6,0)))</f>
        <v>0</v>
      </c>
      <c r="X134" s="12">
        <f>IF(Q134="",0,INDEX(Sheet2!A$2:A$6,MATCH(Q134,Sheet2!C$2:C$6,0)))</f>
        <v>0</v>
      </c>
      <c r="Y134" s="12">
        <f>IF(R134="",0,INDEX(Sheet2!A$2:A$6,MATCH(R134,Sheet2!C$2:C$6,0)))</f>
        <v>0</v>
      </c>
      <c r="Z134" s="12">
        <f t="shared" si="5"/>
        <v>0</v>
      </c>
      <c r="AA134" s="12" t="str">
        <f>IF(I134&gt;=7500,"E",IF(I134&gt;=6800,"D",IF(I134&gt;=4200,"C",IF(I134&gt;=3000,"B",IF(I134&gt;=750,"A","Below Slab")))))</f>
        <v>E</v>
      </c>
      <c r="AB134" s="19" t="str">
        <f>IF(I134&gt;=7500,"Samsung front-load washing machine",IF(I134&gt;=6800,"Apple iPad",IF(I134&gt;=4200,"Robot Vacuum cleaner",IF(I134&gt;=3000,"Sony - sound bar, woofer and speakers",IF(I134&gt;=750,"Foot massager","Not eligible")))))</f>
        <v>Samsung front-load washing machine</v>
      </c>
    </row>
    <row r="135" spans="1:28" customFormat="1">
      <c r="A135" s="1" t="s">
        <v>443</v>
      </c>
      <c r="B135" s="21" t="s">
        <v>444</v>
      </c>
      <c r="C135" s="21" t="s">
        <v>54</v>
      </c>
      <c r="D135" s="1" t="s">
        <v>18</v>
      </c>
      <c r="E135" s="1" t="s">
        <v>442</v>
      </c>
      <c r="F135" s="1" t="s">
        <v>115</v>
      </c>
      <c r="G135" s="1" t="s">
        <v>9</v>
      </c>
      <c r="H135" s="23">
        <v>83.44</v>
      </c>
      <c r="I135" s="23">
        <v>2294.6000000000004</v>
      </c>
      <c r="J135" s="2" t="str">
        <f t="shared" si="4"/>
        <v/>
      </c>
      <c r="K135" s="2" t="str">
        <f>IF(J135="","",I135-J135)</f>
        <v/>
      </c>
      <c r="L135" s="1" t="s">
        <v>73</v>
      </c>
      <c r="M135" s="12"/>
      <c r="N135" s="12"/>
      <c r="O135" s="12"/>
      <c r="P135" s="12"/>
      <c r="Q135" s="12"/>
      <c r="R135" s="12"/>
      <c r="S135" s="12"/>
      <c r="T135" s="12">
        <f>IF(M135="",0,INDEX(Sheet2!A$2:A$6,MATCH(M135,Sheet2!C$2:C$6,0)))</f>
        <v>0</v>
      </c>
      <c r="U135" s="12">
        <f>IF(N135="",0,INDEX(Sheet2!A$2:A$6,MATCH(N135,Sheet2!C$2:C$6,0)))</f>
        <v>0</v>
      </c>
      <c r="V135" s="12">
        <f>IF(O135="",0,INDEX(Sheet2!A$2:A$6,MATCH(O135,Sheet2!C$2:C$6,0)))</f>
        <v>0</v>
      </c>
      <c r="W135" s="12">
        <f>IF(P135="",0,INDEX(Sheet2!A$2:A$6,MATCH(P135,Sheet2!C$2:C$6,0)))</f>
        <v>0</v>
      </c>
      <c r="X135" s="12">
        <f>IF(Q135="",0,INDEX(Sheet2!A$2:A$6,MATCH(Q135,Sheet2!C$2:C$6,0)))</f>
        <v>0</v>
      </c>
      <c r="Y135" s="12">
        <f>IF(R135="",0,INDEX(Sheet2!A$2:A$6,MATCH(R135,Sheet2!C$2:C$6,0)))</f>
        <v>0</v>
      </c>
      <c r="Z135" s="12">
        <f t="shared" si="5"/>
        <v>0</v>
      </c>
      <c r="AA135" s="12" t="str">
        <f>IF(I135&gt;=7500,"E",IF(I135&gt;=6800,"D",IF(I135&gt;=4200,"C",IF(I135&gt;=3000,"B",IF(I135&gt;=750,"A","Below Slab")))))</f>
        <v>A</v>
      </c>
      <c r="AB135" s="19" t="str">
        <f>IF(I135&gt;=7500,"Samsung front-load washing machine",IF(I135&gt;=6800,"Apple iPad",IF(I135&gt;=4200,"Robot Vacuum cleaner",IF(I135&gt;=3000,"Sony - sound bar, woofer and speakers",IF(I135&gt;=750,"Foot massager","Not eligible")))))</f>
        <v>Foot massager</v>
      </c>
    </row>
    <row r="136" spans="1:28" customFormat="1">
      <c r="A136" s="1" t="s">
        <v>445</v>
      </c>
      <c r="B136" s="21" t="s">
        <v>446</v>
      </c>
      <c r="C136" s="21" t="s">
        <v>54</v>
      </c>
      <c r="D136" s="1" t="s">
        <v>18</v>
      </c>
      <c r="E136" s="1" t="s">
        <v>424</v>
      </c>
      <c r="F136" s="1" t="s">
        <v>115</v>
      </c>
      <c r="G136" s="1" t="s">
        <v>9</v>
      </c>
      <c r="H136" s="23">
        <v>274.24</v>
      </c>
      <c r="I136" s="23">
        <v>10284</v>
      </c>
      <c r="J136" s="2" t="str">
        <f t="shared" si="4"/>
        <v/>
      </c>
      <c r="K136" s="2" t="str">
        <f>IF(J136="","",I136-J136)</f>
        <v/>
      </c>
      <c r="L136" s="1" t="s">
        <v>81</v>
      </c>
      <c r="M136" s="12"/>
      <c r="N136" s="12"/>
      <c r="O136" s="12"/>
      <c r="P136" s="12"/>
      <c r="Q136" s="12"/>
      <c r="R136" s="12"/>
      <c r="S136" s="12"/>
      <c r="T136" s="12">
        <f>IF(M136="",0,INDEX(Sheet2!A$2:A$6,MATCH(M136,Sheet2!C$2:C$6,0)))</f>
        <v>0</v>
      </c>
      <c r="U136" s="12">
        <f>IF(N136="",0,INDEX(Sheet2!A$2:A$6,MATCH(N136,Sheet2!C$2:C$6,0)))</f>
        <v>0</v>
      </c>
      <c r="V136" s="12">
        <f>IF(O136="",0,INDEX(Sheet2!A$2:A$6,MATCH(O136,Sheet2!C$2:C$6,0)))</f>
        <v>0</v>
      </c>
      <c r="W136" s="12">
        <f>IF(P136="",0,INDEX(Sheet2!A$2:A$6,MATCH(P136,Sheet2!C$2:C$6,0)))</f>
        <v>0</v>
      </c>
      <c r="X136" s="12">
        <f>IF(Q136="",0,INDEX(Sheet2!A$2:A$6,MATCH(Q136,Sheet2!C$2:C$6,0)))</f>
        <v>0</v>
      </c>
      <c r="Y136" s="12">
        <f>IF(R136="",0,INDEX(Sheet2!A$2:A$6,MATCH(R136,Sheet2!C$2:C$6,0)))</f>
        <v>0</v>
      </c>
      <c r="Z136" s="12">
        <f t="shared" si="5"/>
        <v>0</v>
      </c>
      <c r="AA136" s="12" t="str">
        <f>IF(I136&gt;=7500,"E",IF(I136&gt;=6800,"D",IF(I136&gt;=4200,"C",IF(I136&gt;=3000,"B",IF(I136&gt;=750,"A","Below Slab")))))</f>
        <v>E</v>
      </c>
      <c r="AB136" s="19" t="str">
        <f>IF(I136&gt;=7500,"Samsung front-load washing machine",IF(I136&gt;=6800,"Apple iPad",IF(I136&gt;=4200,"Robot Vacuum cleaner",IF(I136&gt;=3000,"Sony - sound bar, woofer and speakers",IF(I136&gt;=750,"Foot massager","Not eligible")))))</f>
        <v>Samsung front-load washing machine</v>
      </c>
    </row>
    <row r="137" spans="1:28" customFormat="1">
      <c r="A137" s="1" t="s">
        <v>447</v>
      </c>
      <c r="B137" s="21" t="s">
        <v>448</v>
      </c>
      <c r="C137" s="21" t="s">
        <v>54</v>
      </c>
      <c r="D137" s="1" t="s">
        <v>18</v>
      </c>
      <c r="E137" s="1" t="s">
        <v>442</v>
      </c>
      <c r="F137" s="1" t="s">
        <v>115</v>
      </c>
      <c r="G137" s="1" t="s">
        <v>9</v>
      </c>
      <c r="H137" s="23">
        <v>301.16999999999996</v>
      </c>
      <c r="I137" s="23">
        <v>11293.874999999998</v>
      </c>
      <c r="J137" s="2" t="str">
        <f t="shared" si="4"/>
        <v/>
      </c>
      <c r="K137" s="2" t="str">
        <f>IF(J137="","",I137-J137)</f>
        <v/>
      </c>
      <c r="L137" s="1" t="s">
        <v>81</v>
      </c>
      <c r="M137" s="12"/>
      <c r="N137" s="12"/>
      <c r="O137" s="12"/>
      <c r="P137" s="12"/>
      <c r="Q137" s="12"/>
      <c r="R137" s="12"/>
      <c r="S137" s="12"/>
      <c r="T137" s="12">
        <f>IF(M137="",0,INDEX(Sheet2!A$2:A$6,MATCH(M137,Sheet2!C$2:C$6,0)))</f>
        <v>0</v>
      </c>
      <c r="U137" s="12">
        <f>IF(N137="",0,INDEX(Sheet2!A$2:A$6,MATCH(N137,Sheet2!C$2:C$6,0)))</f>
        <v>0</v>
      </c>
      <c r="V137" s="12">
        <f>IF(O137="",0,INDEX(Sheet2!A$2:A$6,MATCH(O137,Sheet2!C$2:C$6,0)))</f>
        <v>0</v>
      </c>
      <c r="W137" s="12">
        <f>IF(P137="",0,INDEX(Sheet2!A$2:A$6,MATCH(P137,Sheet2!C$2:C$6,0)))</f>
        <v>0</v>
      </c>
      <c r="X137" s="12">
        <f>IF(Q137="",0,INDEX(Sheet2!A$2:A$6,MATCH(Q137,Sheet2!C$2:C$6,0)))</f>
        <v>0</v>
      </c>
      <c r="Y137" s="12">
        <f>IF(R137="",0,INDEX(Sheet2!A$2:A$6,MATCH(R137,Sheet2!C$2:C$6,0)))</f>
        <v>0</v>
      </c>
      <c r="Z137" s="12">
        <f t="shared" si="5"/>
        <v>0</v>
      </c>
      <c r="AA137" s="12" t="str">
        <f>IF(I137&gt;=7500,"E",IF(I137&gt;=6800,"D",IF(I137&gt;=4200,"C",IF(I137&gt;=3000,"B",IF(I137&gt;=750,"A","Below Slab")))))</f>
        <v>E</v>
      </c>
      <c r="AB137" s="19" t="str">
        <f>IF(I137&gt;=7500,"Samsung front-load washing machine",IF(I137&gt;=6800,"Apple iPad",IF(I137&gt;=4200,"Robot Vacuum cleaner",IF(I137&gt;=3000,"Sony - sound bar, woofer and speakers",IF(I137&gt;=750,"Foot massager","Not eligible")))))</f>
        <v>Samsung front-load washing machine</v>
      </c>
    </row>
    <row r="138" spans="1:28" customFormat="1">
      <c r="A138" s="1" t="s">
        <v>449</v>
      </c>
      <c r="B138" s="21" t="s">
        <v>450</v>
      </c>
      <c r="C138" s="21" t="s">
        <v>54</v>
      </c>
      <c r="D138" s="1" t="s">
        <v>18</v>
      </c>
      <c r="E138" s="1" t="s">
        <v>429</v>
      </c>
      <c r="F138" s="1" t="s">
        <v>115</v>
      </c>
      <c r="G138" s="1" t="s">
        <v>9</v>
      </c>
      <c r="H138" s="23">
        <v>150.76</v>
      </c>
      <c r="I138" s="23">
        <v>4899.7</v>
      </c>
      <c r="J138" s="2" t="str">
        <f t="shared" si="4"/>
        <v/>
      </c>
      <c r="K138" s="2" t="str">
        <f>IF(J138="","",I138-J138)</f>
        <v/>
      </c>
      <c r="L138" s="1" t="s">
        <v>77</v>
      </c>
      <c r="M138" s="12"/>
      <c r="N138" s="12"/>
      <c r="O138" s="12"/>
      <c r="P138" s="12"/>
      <c r="Q138" s="12"/>
      <c r="R138" s="12"/>
      <c r="S138" s="12"/>
      <c r="T138" s="12">
        <f>IF(M138="",0,INDEX(Sheet2!A$2:A$6,MATCH(M138,Sheet2!C$2:C$6,0)))</f>
        <v>0</v>
      </c>
      <c r="U138" s="12">
        <f>IF(N138="",0,INDEX(Sheet2!A$2:A$6,MATCH(N138,Sheet2!C$2:C$6,0)))</f>
        <v>0</v>
      </c>
      <c r="V138" s="12">
        <f>IF(O138="",0,INDEX(Sheet2!A$2:A$6,MATCH(O138,Sheet2!C$2:C$6,0)))</f>
        <v>0</v>
      </c>
      <c r="W138" s="12">
        <f>IF(P138="",0,INDEX(Sheet2!A$2:A$6,MATCH(P138,Sheet2!C$2:C$6,0)))</f>
        <v>0</v>
      </c>
      <c r="X138" s="12">
        <f>IF(Q138="",0,INDEX(Sheet2!A$2:A$6,MATCH(Q138,Sheet2!C$2:C$6,0)))</f>
        <v>0</v>
      </c>
      <c r="Y138" s="12">
        <f>IF(R138="",0,INDEX(Sheet2!A$2:A$6,MATCH(R138,Sheet2!C$2:C$6,0)))</f>
        <v>0</v>
      </c>
      <c r="Z138" s="12">
        <f t="shared" si="5"/>
        <v>0</v>
      </c>
      <c r="AA138" s="12" t="str">
        <f>IF(I138&gt;=7500,"E",IF(I138&gt;=6800,"D",IF(I138&gt;=4200,"C",IF(I138&gt;=3000,"B",IF(I138&gt;=750,"A","Below Slab")))))</f>
        <v>C</v>
      </c>
      <c r="AB138" s="19" t="str">
        <f>IF(I138&gt;=7500,"Samsung front-load washing machine",IF(I138&gt;=6800,"Apple iPad",IF(I138&gt;=4200,"Robot Vacuum cleaner",IF(I138&gt;=3000,"Sony - sound bar, woofer and speakers",IF(I138&gt;=750,"Foot massager","Not eligible")))))</f>
        <v>Robot Vacuum cleaner</v>
      </c>
    </row>
    <row r="139" spans="1:28" customFormat="1">
      <c r="A139" s="1" t="s">
        <v>451</v>
      </c>
      <c r="B139" s="21" t="s">
        <v>452</v>
      </c>
      <c r="C139" s="21" t="s">
        <v>54</v>
      </c>
      <c r="D139" s="1" t="s">
        <v>18</v>
      </c>
      <c r="E139" s="1" t="s">
        <v>439</v>
      </c>
      <c r="F139" s="1" t="s">
        <v>115</v>
      </c>
      <c r="G139" s="1" t="s">
        <v>9</v>
      </c>
      <c r="H139" s="23">
        <v>101.39</v>
      </c>
      <c r="I139" s="23">
        <v>3041.7</v>
      </c>
      <c r="J139" s="2" t="str">
        <f t="shared" si="4"/>
        <v/>
      </c>
      <c r="K139" s="2" t="str">
        <f>IF(J139="","",I139-J139)</f>
        <v/>
      </c>
      <c r="L139" s="1" t="s">
        <v>134</v>
      </c>
      <c r="M139" s="12"/>
      <c r="N139" s="12"/>
      <c r="O139" s="12"/>
      <c r="P139" s="12"/>
      <c r="Q139" s="12"/>
      <c r="R139" s="12"/>
      <c r="S139" s="12"/>
      <c r="T139" s="12">
        <f>IF(M139="",0,INDEX(Sheet2!A$2:A$6,MATCH(M139,Sheet2!C$2:C$6,0)))</f>
        <v>0</v>
      </c>
      <c r="U139" s="12">
        <f>IF(N139="",0,INDEX(Sheet2!A$2:A$6,MATCH(N139,Sheet2!C$2:C$6,0)))</f>
        <v>0</v>
      </c>
      <c r="V139" s="12">
        <f>IF(O139="",0,INDEX(Sheet2!A$2:A$6,MATCH(O139,Sheet2!C$2:C$6,0)))</f>
        <v>0</v>
      </c>
      <c r="W139" s="12">
        <f>IF(P139="",0,INDEX(Sheet2!A$2:A$6,MATCH(P139,Sheet2!C$2:C$6,0)))</f>
        <v>0</v>
      </c>
      <c r="X139" s="12">
        <f>IF(Q139="",0,INDEX(Sheet2!A$2:A$6,MATCH(Q139,Sheet2!C$2:C$6,0)))</f>
        <v>0</v>
      </c>
      <c r="Y139" s="12">
        <f>IF(R139="",0,INDEX(Sheet2!A$2:A$6,MATCH(R139,Sheet2!C$2:C$6,0)))</f>
        <v>0</v>
      </c>
      <c r="Z139" s="12">
        <f t="shared" si="5"/>
        <v>0</v>
      </c>
      <c r="AA139" s="12" t="str">
        <f>IF(I139&gt;=7500,"E",IF(I139&gt;=6800,"D",IF(I139&gt;=4200,"C",IF(I139&gt;=3000,"B",IF(I139&gt;=750,"A","Below Slab")))))</f>
        <v>B</v>
      </c>
      <c r="AB139" s="19" t="str">
        <f>IF(I139&gt;=7500,"Samsung front-load washing machine",IF(I139&gt;=6800,"Apple iPad",IF(I139&gt;=4200,"Robot Vacuum cleaner",IF(I139&gt;=3000,"Sony - sound bar, woofer and speakers",IF(I139&gt;=750,"Foot massager","Not eligible")))))</f>
        <v>Sony - sound bar, woofer and speakers</v>
      </c>
    </row>
    <row r="140" spans="1:28" customFormat="1">
      <c r="A140" s="1" t="s">
        <v>453</v>
      </c>
      <c r="B140" s="21" t="s">
        <v>454</v>
      </c>
      <c r="C140" s="21" t="s">
        <v>54</v>
      </c>
      <c r="D140" s="1" t="s">
        <v>18</v>
      </c>
      <c r="E140" s="1" t="s">
        <v>429</v>
      </c>
      <c r="F140" s="1" t="s">
        <v>115</v>
      </c>
      <c r="G140" s="1" t="s">
        <v>9</v>
      </c>
      <c r="H140" s="23">
        <v>53.09</v>
      </c>
      <c r="I140" s="23">
        <v>1459.9750000000001</v>
      </c>
      <c r="J140" s="2" t="str">
        <f t="shared" si="4"/>
        <v/>
      </c>
      <c r="K140" s="2" t="str">
        <f>IF(J140="","",I140-J140)</f>
        <v/>
      </c>
      <c r="L140" s="1" t="s">
        <v>73</v>
      </c>
      <c r="M140" s="12"/>
      <c r="N140" s="12"/>
      <c r="O140" s="12"/>
      <c r="P140" s="12"/>
      <c r="Q140" s="12"/>
      <c r="R140" s="12"/>
      <c r="S140" s="12"/>
      <c r="T140" s="12">
        <f>IF(M140="",0,INDEX(Sheet2!A$2:A$6,MATCH(M140,Sheet2!C$2:C$6,0)))</f>
        <v>0</v>
      </c>
      <c r="U140" s="12">
        <f>IF(N140="",0,INDEX(Sheet2!A$2:A$6,MATCH(N140,Sheet2!C$2:C$6,0)))</f>
        <v>0</v>
      </c>
      <c r="V140" s="12">
        <f>IF(O140="",0,INDEX(Sheet2!A$2:A$6,MATCH(O140,Sheet2!C$2:C$6,0)))</f>
        <v>0</v>
      </c>
      <c r="W140" s="12">
        <f>IF(P140="",0,INDEX(Sheet2!A$2:A$6,MATCH(P140,Sheet2!C$2:C$6,0)))</f>
        <v>0</v>
      </c>
      <c r="X140" s="12">
        <f>IF(Q140="",0,INDEX(Sheet2!A$2:A$6,MATCH(Q140,Sheet2!C$2:C$6,0)))</f>
        <v>0</v>
      </c>
      <c r="Y140" s="12">
        <f>IF(R140="",0,INDEX(Sheet2!A$2:A$6,MATCH(R140,Sheet2!C$2:C$6,0)))</f>
        <v>0</v>
      </c>
      <c r="Z140" s="12">
        <f t="shared" si="5"/>
        <v>0</v>
      </c>
      <c r="AA140" s="12" t="str">
        <f>IF(I140&gt;=7500,"E",IF(I140&gt;=6800,"D",IF(I140&gt;=4200,"C",IF(I140&gt;=3000,"B",IF(I140&gt;=750,"A","Below Slab")))))</f>
        <v>A</v>
      </c>
      <c r="AB140" s="19" t="str">
        <f>IF(I140&gt;=7500,"Samsung front-load washing machine",IF(I140&gt;=6800,"Apple iPad",IF(I140&gt;=4200,"Robot Vacuum cleaner",IF(I140&gt;=3000,"Sony - sound bar, woofer and speakers",IF(I140&gt;=750,"Foot massager","Not eligible")))))</f>
        <v>Foot massager</v>
      </c>
    </row>
    <row r="141" spans="1:28" customFormat="1">
      <c r="A141" s="1" t="s">
        <v>455</v>
      </c>
      <c r="B141" s="21" t="s">
        <v>456</v>
      </c>
      <c r="C141" s="21" t="s">
        <v>52</v>
      </c>
      <c r="D141" s="1" t="s">
        <v>19</v>
      </c>
      <c r="E141" s="1" t="s">
        <v>457</v>
      </c>
      <c r="F141" s="1" t="s">
        <v>115</v>
      </c>
      <c r="G141" s="1" t="s">
        <v>9</v>
      </c>
      <c r="H141" s="23">
        <v>558.83000000000004</v>
      </c>
      <c r="I141" s="23">
        <v>20956.125000000004</v>
      </c>
      <c r="J141" s="2" t="str">
        <f t="shared" si="4"/>
        <v/>
      </c>
      <c r="K141" s="2" t="str">
        <f>IF(J141="","",I141-J141)</f>
        <v/>
      </c>
      <c r="L141" s="1" t="s">
        <v>81</v>
      </c>
      <c r="M141" s="12"/>
      <c r="N141" s="12"/>
      <c r="O141" s="12"/>
      <c r="P141" s="12"/>
      <c r="Q141" s="12"/>
      <c r="R141" s="12"/>
      <c r="S141" s="12"/>
      <c r="T141" s="12">
        <f>IF(M141="",0,INDEX(Sheet2!A$2:A$6,MATCH(M141,Sheet2!C$2:C$6,0)))</f>
        <v>0</v>
      </c>
      <c r="U141" s="12">
        <f>IF(N141="",0,INDEX(Sheet2!A$2:A$6,MATCH(N141,Sheet2!C$2:C$6,0)))</f>
        <v>0</v>
      </c>
      <c r="V141" s="12">
        <f>IF(O141="",0,INDEX(Sheet2!A$2:A$6,MATCH(O141,Sheet2!C$2:C$6,0)))</f>
        <v>0</v>
      </c>
      <c r="W141" s="12">
        <f>IF(P141="",0,INDEX(Sheet2!A$2:A$6,MATCH(P141,Sheet2!C$2:C$6,0)))</f>
        <v>0</v>
      </c>
      <c r="X141" s="12">
        <f>IF(Q141="",0,INDEX(Sheet2!A$2:A$6,MATCH(Q141,Sheet2!C$2:C$6,0)))</f>
        <v>0</v>
      </c>
      <c r="Y141" s="12">
        <f>IF(R141="",0,INDEX(Sheet2!A$2:A$6,MATCH(R141,Sheet2!C$2:C$6,0)))</f>
        <v>0</v>
      </c>
      <c r="Z141" s="12">
        <f t="shared" si="5"/>
        <v>0</v>
      </c>
      <c r="AA141" s="12" t="str">
        <f>IF(I141&gt;=7500,"E",IF(I141&gt;=6800,"D",IF(I141&gt;=4200,"C",IF(I141&gt;=3000,"B",IF(I141&gt;=750,"A","Below Slab")))))</f>
        <v>E</v>
      </c>
      <c r="AB141" s="19" t="str">
        <f>IF(I141&gt;=7500,"Samsung front-load washing machine",IF(I141&gt;=6800,"Apple iPad",IF(I141&gt;=4200,"Robot Vacuum cleaner",IF(I141&gt;=3000,"Sony - sound bar, woofer and speakers",IF(I141&gt;=750,"Foot massager","Not eligible")))))</f>
        <v>Samsung front-load washing machine</v>
      </c>
    </row>
    <row r="142" spans="1:28" customFormat="1">
      <c r="A142" s="1" t="s">
        <v>458</v>
      </c>
      <c r="B142" s="21" t="s">
        <v>459</v>
      </c>
      <c r="C142" s="21" t="s">
        <v>32</v>
      </c>
      <c r="D142" s="1" t="s">
        <v>20</v>
      </c>
      <c r="E142" s="1" t="s">
        <v>460</v>
      </c>
      <c r="F142" s="1" t="s">
        <v>115</v>
      </c>
      <c r="G142" s="1" t="s">
        <v>9</v>
      </c>
      <c r="H142" s="23">
        <v>77.949999999999989</v>
      </c>
      <c r="I142" s="23">
        <v>2143.625</v>
      </c>
      <c r="J142" s="2" t="str">
        <f t="shared" si="4"/>
        <v/>
      </c>
      <c r="K142" s="2" t="str">
        <f>IF(J142="","",I142-J142)</f>
        <v/>
      </c>
      <c r="L142" s="1" t="s">
        <v>73</v>
      </c>
      <c r="M142" s="12"/>
      <c r="N142" s="12"/>
      <c r="O142" s="12"/>
      <c r="P142" s="12"/>
      <c r="Q142" s="12"/>
      <c r="R142" s="12"/>
      <c r="S142" s="12"/>
      <c r="T142" s="12">
        <f>IF(M142="",0,INDEX(Sheet2!A$2:A$6,MATCH(M142,Sheet2!C$2:C$6,0)))</f>
        <v>0</v>
      </c>
      <c r="U142" s="12">
        <f>IF(N142="",0,INDEX(Sheet2!A$2:A$6,MATCH(N142,Sheet2!C$2:C$6,0)))</f>
        <v>0</v>
      </c>
      <c r="V142" s="12">
        <f>IF(O142="",0,INDEX(Sheet2!A$2:A$6,MATCH(O142,Sheet2!C$2:C$6,0)))</f>
        <v>0</v>
      </c>
      <c r="W142" s="12">
        <f>IF(P142="",0,INDEX(Sheet2!A$2:A$6,MATCH(P142,Sheet2!C$2:C$6,0)))</f>
        <v>0</v>
      </c>
      <c r="X142" s="12">
        <f>IF(Q142="",0,INDEX(Sheet2!A$2:A$6,MATCH(Q142,Sheet2!C$2:C$6,0)))</f>
        <v>0</v>
      </c>
      <c r="Y142" s="12">
        <f>IF(R142="",0,INDEX(Sheet2!A$2:A$6,MATCH(R142,Sheet2!C$2:C$6,0)))</f>
        <v>0</v>
      </c>
      <c r="Z142" s="12">
        <f t="shared" si="5"/>
        <v>0</v>
      </c>
      <c r="AA142" s="12" t="str">
        <f>IF(I142&gt;=7500,"E",IF(I142&gt;=6800,"D",IF(I142&gt;=4200,"C",IF(I142&gt;=3000,"B",IF(I142&gt;=750,"A","Below Slab")))))</f>
        <v>A</v>
      </c>
      <c r="AB142" s="19" t="str">
        <f>IF(I142&gt;=7500,"Samsung front-load washing machine",IF(I142&gt;=6800,"Apple iPad",IF(I142&gt;=4200,"Robot Vacuum cleaner",IF(I142&gt;=3000,"Sony - sound bar, woofer and speakers",IF(I142&gt;=750,"Foot massager","Not eligible")))))</f>
        <v>Foot massager</v>
      </c>
    </row>
    <row r="143" spans="1:28" customFormat="1">
      <c r="A143" s="1" t="s">
        <v>461</v>
      </c>
      <c r="B143" s="21" t="s">
        <v>462</v>
      </c>
      <c r="C143" s="21" t="s">
        <v>32</v>
      </c>
      <c r="D143" s="1" t="s">
        <v>20</v>
      </c>
      <c r="E143" s="1" t="s">
        <v>463</v>
      </c>
      <c r="F143" s="1" t="s">
        <v>115</v>
      </c>
      <c r="G143" s="1" t="s">
        <v>9</v>
      </c>
      <c r="H143" s="23">
        <v>116.61999999999999</v>
      </c>
      <c r="I143" s="23">
        <v>3498.5999999999995</v>
      </c>
      <c r="J143" s="2" t="str">
        <f t="shared" si="4"/>
        <v/>
      </c>
      <c r="K143" s="2" t="str">
        <f>IF(J143="","",I143-J143)</f>
        <v/>
      </c>
      <c r="L143" s="1" t="s">
        <v>134</v>
      </c>
      <c r="M143" s="12"/>
      <c r="N143" s="12"/>
      <c r="O143" s="12"/>
      <c r="P143" s="12"/>
      <c r="Q143" s="12"/>
      <c r="R143" s="12"/>
      <c r="S143" s="12"/>
      <c r="T143" s="12">
        <f>IF(M143="",0,INDEX(Sheet2!A$2:A$6,MATCH(M143,Sheet2!C$2:C$6,0)))</f>
        <v>0</v>
      </c>
      <c r="U143" s="12">
        <f>IF(N143="",0,INDEX(Sheet2!A$2:A$6,MATCH(N143,Sheet2!C$2:C$6,0)))</f>
        <v>0</v>
      </c>
      <c r="V143" s="12">
        <f>IF(O143="",0,INDEX(Sheet2!A$2:A$6,MATCH(O143,Sheet2!C$2:C$6,0)))</f>
        <v>0</v>
      </c>
      <c r="W143" s="12">
        <f>IF(P143="",0,INDEX(Sheet2!A$2:A$6,MATCH(P143,Sheet2!C$2:C$6,0)))</f>
        <v>0</v>
      </c>
      <c r="X143" s="12">
        <f>IF(Q143="",0,INDEX(Sheet2!A$2:A$6,MATCH(Q143,Sheet2!C$2:C$6,0)))</f>
        <v>0</v>
      </c>
      <c r="Y143" s="12">
        <f>IF(R143="",0,INDEX(Sheet2!A$2:A$6,MATCH(R143,Sheet2!C$2:C$6,0)))</f>
        <v>0</v>
      </c>
      <c r="Z143" s="12">
        <f t="shared" si="5"/>
        <v>0</v>
      </c>
      <c r="AA143" s="12" t="str">
        <f>IF(I143&gt;=7500,"E",IF(I143&gt;=6800,"D",IF(I143&gt;=4200,"C",IF(I143&gt;=3000,"B",IF(I143&gt;=750,"A","Below Slab")))))</f>
        <v>B</v>
      </c>
      <c r="AB143" s="19" t="str">
        <f>IF(I143&gt;=7500,"Samsung front-load washing machine",IF(I143&gt;=6800,"Apple iPad",IF(I143&gt;=4200,"Robot Vacuum cleaner",IF(I143&gt;=3000,"Sony - sound bar, woofer and speakers",IF(I143&gt;=750,"Foot massager","Not eligible")))))</f>
        <v>Sony - sound bar, woofer and speakers</v>
      </c>
    </row>
    <row r="144" spans="1:28" customFormat="1">
      <c r="A144" s="1" t="s">
        <v>464</v>
      </c>
      <c r="B144" s="21" t="s">
        <v>465</v>
      </c>
      <c r="C144" s="21" t="s">
        <v>56</v>
      </c>
      <c r="D144" s="1" t="s">
        <v>22</v>
      </c>
      <c r="E144" s="1" t="s">
        <v>466</v>
      </c>
      <c r="F144" s="1" t="s">
        <v>115</v>
      </c>
      <c r="G144" s="1" t="s">
        <v>9</v>
      </c>
      <c r="H144" s="23">
        <v>95.919999999999987</v>
      </c>
      <c r="I144" s="23">
        <v>2637.7999999999997</v>
      </c>
      <c r="J144" s="2" t="str">
        <f t="shared" si="4"/>
        <v/>
      </c>
      <c r="K144" s="2" t="str">
        <f>IF(J144="","",I144-J144)</f>
        <v/>
      </c>
      <c r="L144" s="1" t="s">
        <v>73</v>
      </c>
      <c r="M144" s="12"/>
      <c r="N144" s="12"/>
      <c r="O144" s="12"/>
      <c r="P144" s="12"/>
      <c r="Q144" s="12"/>
      <c r="R144" s="12"/>
      <c r="S144" s="12"/>
      <c r="T144" s="12">
        <f>IF(M144="",0,INDEX(Sheet2!A$2:A$6,MATCH(M144,Sheet2!C$2:C$6,0)))</f>
        <v>0</v>
      </c>
      <c r="U144" s="12">
        <f>IF(N144="",0,INDEX(Sheet2!A$2:A$6,MATCH(N144,Sheet2!C$2:C$6,0)))</f>
        <v>0</v>
      </c>
      <c r="V144" s="12">
        <f>IF(O144="",0,INDEX(Sheet2!A$2:A$6,MATCH(O144,Sheet2!C$2:C$6,0)))</f>
        <v>0</v>
      </c>
      <c r="W144" s="12">
        <f>IF(P144="",0,INDEX(Sheet2!A$2:A$6,MATCH(P144,Sheet2!C$2:C$6,0)))</f>
        <v>0</v>
      </c>
      <c r="X144" s="12">
        <f>IF(Q144="",0,INDEX(Sheet2!A$2:A$6,MATCH(Q144,Sheet2!C$2:C$6,0)))</f>
        <v>0</v>
      </c>
      <c r="Y144" s="12">
        <f>IF(R144="",0,INDEX(Sheet2!A$2:A$6,MATCH(R144,Sheet2!C$2:C$6,0)))</f>
        <v>0</v>
      </c>
      <c r="Z144" s="12">
        <f t="shared" si="5"/>
        <v>0</v>
      </c>
      <c r="AA144" s="12" t="str">
        <f>IF(I144&gt;=7500,"E",IF(I144&gt;=6800,"D",IF(I144&gt;=4200,"C",IF(I144&gt;=3000,"B",IF(I144&gt;=750,"A","Below Slab")))))</f>
        <v>A</v>
      </c>
      <c r="AB144" s="19" t="str">
        <f>IF(I144&gt;=7500,"Samsung front-load washing machine",IF(I144&gt;=6800,"Apple iPad",IF(I144&gt;=4200,"Robot Vacuum cleaner",IF(I144&gt;=3000,"Sony - sound bar, woofer and speakers",IF(I144&gt;=750,"Foot massager","Not eligible")))))</f>
        <v>Foot massager</v>
      </c>
    </row>
    <row r="145" spans="1:28" customFormat="1">
      <c r="A145" s="1" t="s">
        <v>467</v>
      </c>
      <c r="B145" s="21" t="s">
        <v>468</v>
      </c>
      <c r="C145" s="21" t="s">
        <v>56</v>
      </c>
      <c r="D145" s="1" t="s">
        <v>22</v>
      </c>
      <c r="E145" s="1" t="s">
        <v>469</v>
      </c>
      <c r="F145" s="1" t="s">
        <v>115</v>
      </c>
      <c r="G145" s="1" t="s">
        <v>9</v>
      </c>
      <c r="H145" s="23">
        <v>41.72</v>
      </c>
      <c r="I145" s="23">
        <v>1043</v>
      </c>
      <c r="J145" s="2" t="str">
        <f t="shared" si="4"/>
        <v/>
      </c>
      <c r="K145" s="2" t="str">
        <f>IF(J145="","",I145-J145)</f>
        <v/>
      </c>
      <c r="L145" s="1" t="s">
        <v>73</v>
      </c>
      <c r="M145" s="12"/>
      <c r="N145" s="12"/>
      <c r="O145" s="12"/>
      <c r="P145" s="12"/>
      <c r="Q145" s="12"/>
      <c r="R145" s="12"/>
      <c r="S145" s="12"/>
      <c r="T145" s="12">
        <f>IF(M145="",0,INDEX(Sheet2!A$2:A$6,MATCH(M145,Sheet2!C$2:C$6,0)))</f>
        <v>0</v>
      </c>
      <c r="U145" s="12">
        <f>IF(N145="",0,INDEX(Sheet2!A$2:A$6,MATCH(N145,Sheet2!C$2:C$6,0)))</f>
        <v>0</v>
      </c>
      <c r="V145" s="12">
        <f>IF(O145="",0,INDEX(Sheet2!A$2:A$6,MATCH(O145,Sheet2!C$2:C$6,0)))</f>
        <v>0</v>
      </c>
      <c r="W145" s="12">
        <f>IF(P145="",0,INDEX(Sheet2!A$2:A$6,MATCH(P145,Sheet2!C$2:C$6,0)))</f>
        <v>0</v>
      </c>
      <c r="X145" s="12">
        <f>IF(Q145="",0,INDEX(Sheet2!A$2:A$6,MATCH(Q145,Sheet2!C$2:C$6,0)))</f>
        <v>0</v>
      </c>
      <c r="Y145" s="12">
        <f>IF(R145="",0,INDEX(Sheet2!A$2:A$6,MATCH(R145,Sheet2!C$2:C$6,0)))</f>
        <v>0</v>
      </c>
      <c r="Z145" s="12">
        <f t="shared" si="5"/>
        <v>0</v>
      </c>
      <c r="AA145" s="12" t="str">
        <f>IF(I145&gt;=7500,"E",IF(I145&gt;=6800,"D",IF(I145&gt;=4200,"C",IF(I145&gt;=3000,"B",IF(I145&gt;=750,"A","Below Slab")))))</f>
        <v>A</v>
      </c>
      <c r="AB145" s="19" t="str">
        <f>IF(I145&gt;=7500,"Samsung front-load washing machine",IF(I145&gt;=6800,"Apple iPad",IF(I145&gt;=4200,"Robot Vacuum cleaner",IF(I145&gt;=3000,"Sony - sound bar, woofer and speakers",IF(I145&gt;=750,"Foot massager","Not eligible")))))</f>
        <v>Foot massager</v>
      </c>
    </row>
    <row r="146" spans="1:28" customFormat="1">
      <c r="A146" s="1" t="s">
        <v>470</v>
      </c>
      <c r="B146" s="21" t="s">
        <v>471</v>
      </c>
      <c r="C146" s="21" t="s">
        <v>56</v>
      </c>
      <c r="D146" s="1" t="s">
        <v>22</v>
      </c>
      <c r="E146" s="1" t="s">
        <v>466</v>
      </c>
      <c r="F146" s="1" t="s">
        <v>115</v>
      </c>
      <c r="G146" s="1" t="s">
        <v>9</v>
      </c>
      <c r="H146" s="23">
        <v>135.39000000000001</v>
      </c>
      <c r="I146" s="23">
        <v>4061.7000000000003</v>
      </c>
      <c r="J146" s="2" t="str">
        <f t="shared" si="4"/>
        <v/>
      </c>
      <c r="K146" s="2" t="str">
        <f>IF(J146="","",I146-J146)</f>
        <v/>
      </c>
      <c r="L146" s="1" t="s">
        <v>134</v>
      </c>
      <c r="M146" s="12"/>
      <c r="N146" s="12"/>
      <c r="O146" s="12"/>
      <c r="P146" s="12"/>
      <c r="Q146" s="12"/>
      <c r="R146" s="12"/>
      <c r="S146" s="12"/>
      <c r="T146" s="12">
        <f>IF(M146="",0,INDEX(Sheet2!A$2:A$6,MATCH(M146,Sheet2!C$2:C$6,0)))</f>
        <v>0</v>
      </c>
      <c r="U146" s="12">
        <f>IF(N146="",0,INDEX(Sheet2!A$2:A$6,MATCH(N146,Sheet2!C$2:C$6,0)))</f>
        <v>0</v>
      </c>
      <c r="V146" s="12">
        <f>IF(O146="",0,INDEX(Sheet2!A$2:A$6,MATCH(O146,Sheet2!C$2:C$6,0)))</f>
        <v>0</v>
      </c>
      <c r="W146" s="12">
        <f>IF(P146="",0,INDEX(Sheet2!A$2:A$6,MATCH(P146,Sheet2!C$2:C$6,0)))</f>
        <v>0</v>
      </c>
      <c r="X146" s="12">
        <f>IF(Q146="",0,INDEX(Sheet2!A$2:A$6,MATCH(Q146,Sheet2!C$2:C$6,0)))</f>
        <v>0</v>
      </c>
      <c r="Y146" s="12">
        <f>IF(R146="",0,INDEX(Sheet2!A$2:A$6,MATCH(R146,Sheet2!C$2:C$6,0)))</f>
        <v>0</v>
      </c>
      <c r="Z146" s="12">
        <f t="shared" si="5"/>
        <v>0</v>
      </c>
      <c r="AA146" s="12" t="str">
        <f>IF(I146&gt;=7500,"E",IF(I146&gt;=6800,"D",IF(I146&gt;=4200,"C",IF(I146&gt;=3000,"B",IF(I146&gt;=750,"A","Below Slab")))))</f>
        <v>B</v>
      </c>
      <c r="AB146" s="19" t="str">
        <f>IF(I146&gt;=7500,"Samsung front-load washing machine",IF(I146&gt;=6800,"Apple iPad",IF(I146&gt;=4200,"Robot Vacuum cleaner",IF(I146&gt;=3000,"Sony - sound bar, woofer and speakers",IF(I146&gt;=750,"Foot massager","Not eligible")))))</f>
        <v>Sony - sound bar, woofer and speakers</v>
      </c>
    </row>
    <row r="147" spans="1:28" customFormat="1">
      <c r="A147" s="1" t="s">
        <v>472</v>
      </c>
      <c r="B147" s="21" t="s">
        <v>473</v>
      </c>
      <c r="C147" s="21" t="s">
        <v>56</v>
      </c>
      <c r="D147" s="1" t="s">
        <v>474</v>
      </c>
      <c r="E147" s="1" t="s">
        <v>475</v>
      </c>
      <c r="F147" s="1" t="s">
        <v>115</v>
      </c>
      <c r="G147" s="1" t="s">
        <v>9</v>
      </c>
      <c r="H147" s="23">
        <v>83.200000000000017</v>
      </c>
      <c r="I147" s="23">
        <v>2288.0000000000009</v>
      </c>
      <c r="J147" s="2" t="str">
        <f t="shared" si="4"/>
        <v/>
      </c>
      <c r="K147" s="2" t="str">
        <f>IF(J147="","",I147-J147)</f>
        <v/>
      </c>
      <c r="L147" s="1" t="s">
        <v>73</v>
      </c>
      <c r="M147" s="12"/>
      <c r="N147" s="12"/>
      <c r="O147" s="12"/>
      <c r="P147" s="12"/>
      <c r="Q147" s="12"/>
      <c r="R147" s="12"/>
      <c r="S147" s="12"/>
      <c r="T147" s="12">
        <f>IF(M147="",0,INDEX(Sheet2!A$2:A$6,MATCH(M147,Sheet2!C$2:C$6,0)))</f>
        <v>0</v>
      </c>
      <c r="U147" s="12">
        <f>IF(N147="",0,INDEX(Sheet2!A$2:A$6,MATCH(N147,Sheet2!C$2:C$6,0)))</f>
        <v>0</v>
      </c>
      <c r="V147" s="12">
        <f>IF(O147="",0,INDEX(Sheet2!A$2:A$6,MATCH(O147,Sheet2!C$2:C$6,0)))</f>
        <v>0</v>
      </c>
      <c r="W147" s="12">
        <f>IF(P147="",0,INDEX(Sheet2!A$2:A$6,MATCH(P147,Sheet2!C$2:C$6,0)))</f>
        <v>0</v>
      </c>
      <c r="X147" s="12">
        <f>IF(Q147="",0,INDEX(Sheet2!A$2:A$6,MATCH(Q147,Sheet2!C$2:C$6,0)))</f>
        <v>0</v>
      </c>
      <c r="Y147" s="12">
        <f>IF(R147="",0,INDEX(Sheet2!A$2:A$6,MATCH(R147,Sheet2!C$2:C$6,0)))</f>
        <v>0</v>
      </c>
      <c r="Z147" s="12">
        <f t="shared" si="5"/>
        <v>0</v>
      </c>
      <c r="AA147" s="12" t="str">
        <f>IF(I147&gt;=7500,"E",IF(I147&gt;=6800,"D",IF(I147&gt;=4200,"C",IF(I147&gt;=3000,"B",IF(I147&gt;=750,"A","Below Slab")))))</f>
        <v>A</v>
      </c>
      <c r="AB147" s="19" t="str">
        <f>IF(I147&gt;=7500,"Samsung front-load washing machine",IF(I147&gt;=6800,"Apple iPad",IF(I147&gt;=4200,"Robot Vacuum cleaner",IF(I147&gt;=3000,"Sony - sound bar, woofer and speakers",IF(I147&gt;=750,"Foot massager","Not eligible")))))</f>
        <v>Foot massager</v>
      </c>
    </row>
    <row r="148" spans="1:28" customFormat="1">
      <c r="A148" s="1" t="s">
        <v>476</v>
      </c>
      <c r="B148" s="21" t="s">
        <v>477</v>
      </c>
      <c r="C148" s="21" t="s">
        <v>56</v>
      </c>
      <c r="D148" s="1" t="s">
        <v>22</v>
      </c>
      <c r="E148" s="1" t="s">
        <v>466</v>
      </c>
      <c r="F148" s="1" t="s">
        <v>115</v>
      </c>
      <c r="G148" s="1" t="s">
        <v>9</v>
      </c>
      <c r="H148" s="23">
        <v>194.19</v>
      </c>
      <c r="I148" s="23">
        <v>6311.1750000000002</v>
      </c>
      <c r="J148" s="2" t="str">
        <f t="shared" si="4"/>
        <v/>
      </c>
      <c r="K148" s="2" t="str">
        <f>IF(J148="","",I148-J148)</f>
        <v/>
      </c>
      <c r="L148" s="1" t="s">
        <v>77</v>
      </c>
      <c r="M148" s="12"/>
      <c r="N148" s="12"/>
      <c r="O148" s="12"/>
      <c r="P148" s="12"/>
      <c r="Q148" s="12"/>
      <c r="R148" s="12"/>
      <c r="S148" s="12"/>
      <c r="T148" s="12">
        <f>IF(M148="",0,INDEX(Sheet2!A$2:A$6,MATCH(M148,Sheet2!C$2:C$6,0)))</f>
        <v>0</v>
      </c>
      <c r="U148" s="12">
        <f>IF(N148="",0,INDEX(Sheet2!A$2:A$6,MATCH(N148,Sheet2!C$2:C$6,0)))</f>
        <v>0</v>
      </c>
      <c r="V148" s="12">
        <f>IF(O148="",0,INDEX(Sheet2!A$2:A$6,MATCH(O148,Sheet2!C$2:C$6,0)))</f>
        <v>0</v>
      </c>
      <c r="W148" s="12">
        <f>IF(P148="",0,INDEX(Sheet2!A$2:A$6,MATCH(P148,Sheet2!C$2:C$6,0)))</f>
        <v>0</v>
      </c>
      <c r="X148" s="12">
        <f>IF(Q148="",0,INDEX(Sheet2!A$2:A$6,MATCH(Q148,Sheet2!C$2:C$6,0)))</f>
        <v>0</v>
      </c>
      <c r="Y148" s="12">
        <f>IF(R148="",0,INDEX(Sheet2!A$2:A$6,MATCH(R148,Sheet2!C$2:C$6,0)))</f>
        <v>0</v>
      </c>
      <c r="Z148" s="12">
        <f t="shared" si="5"/>
        <v>0</v>
      </c>
      <c r="AA148" s="12" t="str">
        <f>IF(I148&gt;=7500,"E",IF(I148&gt;=6800,"D",IF(I148&gt;=4200,"C",IF(I148&gt;=3000,"B",IF(I148&gt;=750,"A","Below Slab")))))</f>
        <v>C</v>
      </c>
      <c r="AB148" s="19" t="str">
        <f>IF(I148&gt;=7500,"Samsung front-load washing machine",IF(I148&gt;=6800,"Apple iPad",IF(I148&gt;=4200,"Robot Vacuum cleaner",IF(I148&gt;=3000,"Sony - sound bar, woofer and speakers",IF(I148&gt;=750,"Foot massager","Not eligible")))))</f>
        <v>Robot Vacuum cleaner</v>
      </c>
    </row>
    <row r="149" spans="1:28" customFormat="1">
      <c r="A149" s="1" t="s">
        <v>478</v>
      </c>
      <c r="B149" s="21" t="s">
        <v>479</v>
      </c>
      <c r="C149" s="21" t="s">
        <v>56</v>
      </c>
      <c r="D149" s="1" t="s">
        <v>22</v>
      </c>
      <c r="E149" s="1" t="s">
        <v>469</v>
      </c>
      <c r="F149" s="1" t="s">
        <v>115</v>
      </c>
      <c r="G149" s="1" t="s">
        <v>9</v>
      </c>
      <c r="H149" s="23">
        <v>60.029999999999994</v>
      </c>
      <c r="I149" s="23">
        <v>1650.8249999999998</v>
      </c>
      <c r="J149" s="2" t="str">
        <f t="shared" si="4"/>
        <v/>
      </c>
      <c r="K149" s="2" t="str">
        <f>IF(J149="","",I149-J149)</f>
        <v/>
      </c>
      <c r="L149" s="1" t="s">
        <v>73</v>
      </c>
      <c r="M149" s="12"/>
      <c r="N149" s="12"/>
      <c r="O149" s="12"/>
      <c r="P149" s="12"/>
      <c r="Q149" s="12"/>
      <c r="R149" s="12"/>
      <c r="S149" s="12"/>
      <c r="T149" s="12">
        <f>IF(M149="",0,INDEX(Sheet2!A$2:A$6,MATCH(M149,Sheet2!C$2:C$6,0)))</f>
        <v>0</v>
      </c>
      <c r="U149" s="12">
        <f>IF(N149="",0,INDEX(Sheet2!A$2:A$6,MATCH(N149,Sheet2!C$2:C$6,0)))</f>
        <v>0</v>
      </c>
      <c r="V149" s="12">
        <f>IF(O149="",0,INDEX(Sheet2!A$2:A$6,MATCH(O149,Sheet2!C$2:C$6,0)))</f>
        <v>0</v>
      </c>
      <c r="W149" s="12">
        <f>IF(P149="",0,INDEX(Sheet2!A$2:A$6,MATCH(P149,Sheet2!C$2:C$6,0)))</f>
        <v>0</v>
      </c>
      <c r="X149" s="12">
        <f>IF(Q149="",0,INDEX(Sheet2!A$2:A$6,MATCH(Q149,Sheet2!C$2:C$6,0)))</f>
        <v>0</v>
      </c>
      <c r="Y149" s="12">
        <f>IF(R149="",0,INDEX(Sheet2!A$2:A$6,MATCH(R149,Sheet2!C$2:C$6,0)))</f>
        <v>0</v>
      </c>
      <c r="Z149" s="12">
        <f t="shared" si="5"/>
        <v>0</v>
      </c>
      <c r="AA149" s="12" t="str">
        <f>IF(I149&gt;=7500,"E",IF(I149&gt;=6800,"D",IF(I149&gt;=4200,"C",IF(I149&gt;=3000,"B",IF(I149&gt;=750,"A","Below Slab")))))</f>
        <v>A</v>
      </c>
      <c r="AB149" s="19" t="str">
        <f>IF(I149&gt;=7500,"Samsung front-load washing machine",IF(I149&gt;=6800,"Apple iPad",IF(I149&gt;=4200,"Robot Vacuum cleaner",IF(I149&gt;=3000,"Sony - sound bar, woofer and speakers",IF(I149&gt;=750,"Foot massager","Not eligible")))))</f>
        <v>Foot massager</v>
      </c>
    </row>
    <row r="150" spans="1:28" customFormat="1">
      <c r="A150" s="1" t="s">
        <v>480</v>
      </c>
      <c r="B150" s="21" t="s">
        <v>481</v>
      </c>
      <c r="C150" s="21" t="s">
        <v>56</v>
      </c>
      <c r="D150" s="1" t="s">
        <v>22</v>
      </c>
      <c r="E150" s="1" t="s">
        <v>482</v>
      </c>
      <c r="F150" s="1" t="s">
        <v>115</v>
      </c>
      <c r="G150" s="1" t="s">
        <v>9</v>
      </c>
      <c r="H150" s="23">
        <v>41.82</v>
      </c>
      <c r="I150" s="23">
        <v>1045.5</v>
      </c>
      <c r="J150" s="2" t="str">
        <f t="shared" si="4"/>
        <v/>
      </c>
      <c r="K150" s="2" t="str">
        <f>IF(J150="","",I150-J150)</f>
        <v/>
      </c>
      <c r="L150" s="1" t="s">
        <v>73</v>
      </c>
      <c r="M150" s="12"/>
      <c r="N150" s="12"/>
      <c r="O150" s="12"/>
      <c r="P150" s="12"/>
      <c r="Q150" s="12"/>
      <c r="R150" s="12"/>
      <c r="S150" s="12"/>
      <c r="T150" s="12">
        <f>IF(M150="",0,INDEX(Sheet2!A$2:A$6,MATCH(M150,Sheet2!C$2:C$6,0)))</f>
        <v>0</v>
      </c>
      <c r="U150" s="12">
        <f>IF(N150="",0,INDEX(Sheet2!A$2:A$6,MATCH(N150,Sheet2!C$2:C$6,0)))</f>
        <v>0</v>
      </c>
      <c r="V150" s="12">
        <f>IF(O150="",0,INDEX(Sheet2!A$2:A$6,MATCH(O150,Sheet2!C$2:C$6,0)))</f>
        <v>0</v>
      </c>
      <c r="W150" s="12">
        <f>IF(P150="",0,INDEX(Sheet2!A$2:A$6,MATCH(P150,Sheet2!C$2:C$6,0)))</f>
        <v>0</v>
      </c>
      <c r="X150" s="12">
        <f>IF(Q150="",0,INDEX(Sheet2!A$2:A$6,MATCH(Q150,Sheet2!C$2:C$6,0)))</f>
        <v>0</v>
      </c>
      <c r="Y150" s="12">
        <f>IF(R150="",0,INDEX(Sheet2!A$2:A$6,MATCH(R150,Sheet2!C$2:C$6,0)))</f>
        <v>0</v>
      </c>
      <c r="Z150" s="12">
        <f t="shared" si="5"/>
        <v>0</v>
      </c>
      <c r="AA150" s="12" t="str">
        <f>IF(I150&gt;=7500,"E",IF(I150&gt;=6800,"D",IF(I150&gt;=4200,"C",IF(I150&gt;=3000,"B",IF(I150&gt;=750,"A","Below Slab")))))</f>
        <v>A</v>
      </c>
      <c r="AB150" s="19" t="str">
        <f>IF(I150&gt;=7500,"Samsung front-load washing machine",IF(I150&gt;=6800,"Apple iPad",IF(I150&gt;=4200,"Robot Vacuum cleaner",IF(I150&gt;=3000,"Sony - sound bar, woofer and speakers",IF(I150&gt;=750,"Foot massager","Not eligible")))))</f>
        <v>Foot massager</v>
      </c>
    </row>
    <row r="151" spans="1:28" customFormat="1">
      <c r="A151" s="1" t="s">
        <v>483</v>
      </c>
      <c r="B151" s="21" t="s">
        <v>484</v>
      </c>
      <c r="C151" s="21" t="s">
        <v>56</v>
      </c>
      <c r="D151" s="1" t="s">
        <v>22</v>
      </c>
      <c r="E151" s="1" t="s">
        <v>466</v>
      </c>
      <c r="F151" s="1" t="s">
        <v>115</v>
      </c>
      <c r="G151" s="1" t="s">
        <v>9</v>
      </c>
      <c r="H151" s="23">
        <v>41.879999999999995</v>
      </c>
      <c r="I151" s="23">
        <v>1047</v>
      </c>
      <c r="J151" s="2" t="str">
        <f t="shared" si="4"/>
        <v/>
      </c>
      <c r="K151" s="2" t="str">
        <f>IF(J151="","",I151-J151)</f>
        <v/>
      </c>
      <c r="L151" s="1" t="s">
        <v>73</v>
      </c>
      <c r="M151" s="12"/>
      <c r="N151" s="12"/>
      <c r="O151" s="12"/>
      <c r="P151" s="12"/>
      <c r="Q151" s="12"/>
      <c r="R151" s="12"/>
      <c r="S151" s="12"/>
      <c r="T151" s="12">
        <f>IF(M151="",0,INDEX(Sheet2!A$2:A$6,MATCH(M151,Sheet2!C$2:C$6,0)))</f>
        <v>0</v>
      </c>
      <c r="U151" s="12">
        <f>IF(N151="",0,INDEX(Sheet2!A$2:A$6,MATCH(N151,Sheet2!C$2:C$6,0)))</f>
        <v>0</v>
      </c>
      <c r="V151" s="12">
        <f>IF(O151="",0,INDEX(Sheet2!A$2:A$6,MATCH(O151,Sheet2!C$2:C$6,0)))</f>
        <v>0</v>
      </c>
      <c r="W151" s="12">
        <f>IF(P151="",0,INDEX(Sheet2!A$2:A$6,MATCH(P151,Sheet2!C$2:C$6,0)))</f>
        <v>0</v>
      </c>
      <c r="X151" s="12">
        <f>IF(Q151="",0,INDEX(Sheet2!A$2:A$6,MATCH(Q151,Sheet2!C$2:C$6,0)))</f>
        <v>0</v>
      </c>
      <c r="Y151" s="12">
        <f>IF(R151="",0,INDEX(Sheet2!A$2:A$6,MATCH(R151,Sheet2!C$2:C$6,0)))</f>
        <v>0</v>
      </c>
      <c r="Z151" s="12">
        <f t="shared" si="5"/>
        <v>0</v>
      </c>
      <c r="AA151" s="12" t="str">
        <f>IF(I151&gt;=7500,"E",IF(I151&gt;=6800,"D",IF(I151&gt;=4200,"C",IF(I151&gt;=3000,"B",IF(I151&gt;=750,"A","Below Slab")))))</f>
        <v>A</v>
      </c>
      <c r="AB151" s="19" t="str">
        <f>IF(I151&gt;=7500,"Samsung front-load washing machine",IF(I151&gt;=6800,"Apple iPad",IF(I151&gt;=4200,"Robot Vacuum cleaner",IF(I151&gt;=3000,"Sony - sound bar, woofer and speakers",IF(I151&gt;=750,"Foot massager","Not eligible")))))</f>
        <v>Foot massager</v>
      </c>
    </row>
    <row r="152" spans="1:28" customFormat="1">
      <c r="A152" s="1" t="s">
        <v>485</v>
      </c>
      <c r="B152" s="21" t="s">
        <v>486</v>
      </c>
      <c r="C152" s="21" t="s">
        <v>56</v>
      </c>
      <c r="D152" s="1" t="s">
        <v>22</v>
      </c>
      <c r="E152" s="1" t="s">
        <v>469</v>
      </c>
      <c r="F152" s="1" t="s">
        <v>115</v>
      </c>
      <c r="G152" s="1" t="s">
        <v>9</v>
      </c>
      <c r="H152" s="23">
        <v>45.11</v>
      </c>
      <c r="I152" s="23">
        <v>1127.75</v>
      </c>
      <c r="J152" s="2" t="str">
        <f t="shared" si="4"/>
        <v/>
      </c>
      <c r="K152" s="2" t="str">
        <f>IF(J152="","",I152-J152)</f>
        <v/>
      </c>
      <c r="L152" s="1" t="s">
        <v>73</v>
      </c>
      <c r="M152" s="12"/>
      <c r="N152" s="12"/>
      <c r="O152" s="12"/>
      <c r="P152" s="12"/>
      <c r="Q152" s="12"/>
      <c r="R152" s="12"/>
      <c r="S152" s="12"/>
      <c r="T152" s="12">
        <f>IF(M152="",0,INDEX(Sheet2!A$2:A$6,MATCH(M152,Sheet2!C$2:C$6,0)))</f>
        <v>0</v>
      </c>
      <c r="U152" s="12">
        <f>IF(N152="",0,INDEX(Sheet2!A$2:A$6,MATCH(N152,Sheet2!C$2:C$6,0)))</f>
        <v>0</v>
      </c>
      <c r="V152" s="12">
        <f>IF(O152="",0,INDEX(Sheet2!A$2:A$6,MATCH(O152,Sheet2!C$2:C$6,0)))</f>
        <v>0</v>
      </c>
      <c r="W152" s="12">
        <f>IF(P152="",0,INDEX(Sheet2!A$2:A$6,MATCH(P152,Sheet2!C$2:C$6,0)))</f>
        <v>0</v>
      </c>
      <c r="X152" s="12">
        <f>IF(Q152="",0,INDEX(Sheet2!A$2:A$6,MATCH(Q152,Sheet2!C$2:C$6,0)))</f>
        <v>0</v>
      </c>
      <c r="Y152" s="12">
        <f>IF(R152="",0,INDEX(Sheet2!A$2:A$6,MATCH(R152,Sheet2!C$2:C$6,0)))</f>
        <v>0</v>
      </c>
      <c r="Z152" s="12">
        <f t="shared" si="5"/>
        <v>0</v>
      </c>
      <c r="AA152" s="12" t="str">
        <f>IF(I152&gt;=7500,"E",IF(I152&gt;=6800,"D",IF(I152&gt;=4200,"C",IF(I152&gt;=3000,"B",IF(I152&gt;=750,"A","Below Slab")))))</f>
        <v>A</v>
      </c>
      <c r="AB152" s="19" t="str">
        <f>IF(I152&gt;=7500,"Samsung front-load washing machine",IF(I152&gt;=6800,"Apple iPad",IF(I152&gt;=4200,"Robot Vacuum cleaner",IF(I152&gt;=3000,"Sony - sound bar, woofer and speakers",IF(I152&gt;=750,"Foot massager","Not eligible")))))</f>
        <v>Foot massager</v>
      </c>
    </row>
    <row r="153" spans="1:28" customFormat="1">
      <c r="A153" s="1" t="s">
        <v>487</v>
      </c>
      <c r="B153" s="21" t="s">
        <v>488</v>
      </c>
      <c r="C153" s="21" t="s">
        <v>56</v>
      </c>
      <c r="D153" s="1" t="s">
        <v>22</v>
      </c>
      <c r="E153" s="1" t="s">
        <v>489</v>
      </c>
      <c r="F153" s="1" t="s">
        <v>115</v>
      </c>
      <c r="G153" s="1" t="s">
        <v>9</v>
      </c>
      <c r="H153" s="23">
        <v>39.47</v>
      </c>
      <c r="I153" s="23">
        <v>986.75</v>
      </c>
      <c r="J153" s="2" t="str">
        <f t="shared" si="4"/>
        <v/>
      </c>
      <c r="K153" s="2" t="str">
        <f>IF(J153="","",I153-J153)</f>
        <v/>
      </c>
      <c r="L153" s="1" t="s">
        <v>73</v>
      </c>
      <c r="M153" s="12"/>
      <c r="N153" s="12"/>
      <c r="O153" s="12"/>
      <c r="P153" s="12"/>
      <c r="Q153" s="12"/>
      <c r="R153" s="12"/>
      <c r="S153" s="12"/>
      <c r="T153" s="12">
        <f>IF(M153="",0,INDEX(Sheet2!A$2:A$6,MATCH(M153,Sheet2!C$2:C$6,0)))</f>
        <v>0</v>
      </c>
      <c r="U153" s="12">
        <f>IF(N153="",0,INDEX(Sheet2!A$2:A$6,MATCH(N153,Sheet2!C$2:C$6,0)))</f>
        <v>0</v>
      </c>
      <c r="V153" s="12">
        <f>IF(O153="",0,INDEX(Sheet2!A$2:A$6,MATCH(O153,Sheet2!C$2:C$6,0)))</f>
        <v>0</v>
      </c>
      <c r="W153" s="12">
        <f>IF(P153="",0,INDEX(Sheet2!A$2:A$6,MATCH(P153,Sheet2!C$2:C$6,0)))</f>
        <v>0</v>
      </c>
      <c r="X153" s="12">
        <f>IF(Q153="",0,INDEX(Sheet2!A$2:A$6,MATCH(Q153,Sheet2!C$2:C$6,0)))</f>
        <v>0</v>
      </c>
      <c r="Y153" s="12">
        <f>IF(R153="",0,INDEX(Sheet2!A$2:A$6,MATCH(R153,Sheet2!C$2:C$6,0)))</f>
        <v>0</v>
      </c>
      <c r="Z153" s="12">
        <f t="shared" si="5"/>
        <v>0</v>
      </c>
      <c r="AA153" s="12" t="str">
        <f>IF(I153&gt;=7500,"E",IF(I153&gt;=6800,"D",IF(I153&gt;=4200,"C",IF(I153&gt;=3000,"B",IF(I153&gt;=750,"A","Below Slab")))))</f>
        <v>A</v>
      </c>
      <c r="AB153" s="19" t="str">
        <f>IF(I153&gt;=7500,"Samsung front-load washing machine",IF(I153&gt;=6800,"Apple iPad",IF(I153&gt;=4200,"Robot Vacuum cleaner",IF(I153&gt;=3000,"Sony - sound bar, woofer and speakers",IF(I153&gt;=750,"Foot massager","Not eligible")))))</f>
        <v>Foot massager</v>
      </c>
    </row>
    <row r="154" spans="1:28" customFormat="1">
      <c r="A154" s="1" t="s">
        <v>490</v>
      </c>
      <c r="B154" s="21" t="s">
        <v>491</v>
      </c>
      <c r="C154" s="21" t="s">
        <v>45</v>
      </c>
      <c r="D154" s="1" t="s">
        <v>25</v>
      </c>
      <c r="E154" s="1" t="s">
        <v>492</v>
      </c>
      <c r="F154" s="1" t="s">
        <v>115</v>
      </c>
      <c r="G154" s="1" t="s">
        <v>9</v>
      </c>
      <c r="H154" s="23">
        <v>35</v>
      </c>
      <c r="I154" s="23">
        <v>875</v>
      </c>
      <c r="J154" s="2" t="str">
        <f t="shared" si="4"/>
        <v/>
      </c>
      <c r="K154" s="2" t="str">
        <f>IF(J154="","",I154-J154)</f>
        <v/>
      </c>
      <c r="L154" s="1" t="s">
        <v>73</v>
      </c>
      <c r="M154" s="12"/>
      <c r="N154" s="12"/>
      <c r="O154" s="12"/>
      <c r="P154" s="12"/>
      <c r="Q154" s="12"/>
      <c r="R154" s="12"/>
      <c r="S154" s="12"/>
      <c r="T154" s="12">
        <f>IF(M154="",0,INDEX(Sheet2!A$2:A$6,MATCH(M154,Sheet2!C$2:C$6,0)))</f>
        <v>0</v>
      </c>
      <c r="U154" s="12">
        <f>IF(N154="",0,INDEX(Sheet2!A$2:A$6,MATCH(N154,Sheet2!C$2:C$6,0)))</f>
        <v>0</v>
      </c>
      <c r="V154" s="12">
        <f>IF(O154="",0,INDEX(Sheet2!A$2:A$6,MATCH(O154,Sheet2!C$2:C$6,0)))</f>
        <v>0</v>
      </c>
      <c r="W154" s="12">
        <f>IF(P154="",0,INDEX(Sheet2!A$2:A$6,MATCH(P154,Sheet2!C$2:C$6,0)))</f>
        <v>0</v>
      </c>
      <c r="X154" s="12">
        <f>IF(Q154="",0,INDEX(Sheet2!A$2:A$6,MATCH(Q154,Sheet2!C$2:C$6,0)))</f>
        <v>0</v>
      </c>
      <c r="Y154" s="12">
        <f>IF(R154="",0,INDEX(Sheet2!A$2:A$6,MATCH(R154,Sheet2!C$2:C$6,0)))</f>
        <v>0</v>
      </c>
      <c r="Z154" s="12">
        <f t="shared" si="5"/>
        <v>0</v>
      </c>
      <c r="AA154" s="12" t="str">
        <f>IF(I154&gt;=7500,"E",IF(I154&gt;=6800,"D",IF(I154&gt;=4200,"C",IF(I154&gt;=3000,"B",IF(I154&gt;=750,"A","Below Slab")))))</f>
        <v>A</v>
      </c>
      <c r="AB154" s="19" t="str">
        <f>IF(I154&gt;=7500,"Samsung front-load washing machine",IF(I154&gt;=6800,"Apple iPad",IF(I154&gt;=4200,"Robot Vacuum cleaner",IF(I154&gt;=3000,"Sony - sound bar, woofer and speakers",IF(I154&gt;=750,"Foot massager","Not eligible")))))</f>
        <v>Foot massager</v>
      </c>
    </row>
    <row r="155" spans="1:28" customFormat="1">
      <c r="A155" s="1" t="s">
        <v>493</v>
      </c>
      <c r="B155" s="21" t="s">
        <v>494</v>
      </c>
      <c r="C155" s="21" t="s">
        <v>45</v>
      </c>
      <c r="D155" s="1" t="s">
        <v>25</v>
      </c>
      <c r="E155" s="1" t="s">
        <v>495</v>
      </c>
      <c r="F155" s="1" t="s">
        <v>115</v>
      </c>
      <c r="G155" s="1" t="s">
        <v>9</v>
      </c>
      <c r="H155" s="23">
        <v>35.17</v>
      </c>
      <c r="I155" s="23">
        <v>879.25</v>
      </c>
      <c r="J155" s="2" t="str">
        <f t="shared" si="4"/>
        <v/>
      </c>
      <c r="K155" s="2" t="str">
        <f>IF(J155="","",I155-J155)</f>
        <v/>
      </c>
      <c r="L155" s="1" t="s">
        <v>73</v>
      </c>
      <c r="M155" s="12"/>
      <c r="N155" s="12"/>
      <c r="O155" s="12"/>
      <c r="P155" s="12"/>
      <c r="Q155" s="12"/>
      <c r="R155" s="12"/>
      <c r="S155" s="12"/>
      <c r="T155" s="12">
        <f>IF(M155="",0,INDEX(Sheet2!A$2:A$6,MATCH(M155,Sheet2!C$2:C$6,0)))</f>
        <v>0</v>
      </c>
      <c r="U155" s="12">
        <f>IF(N155="",0,INDEX(Sheet2!A$2:A$6,MATCH(N155,Sheet2!C$2:C$6,0)))</f>
        <v>0</v>
      </c>
      <c r="V155" s="12">
        <f>IF(O155="",0,INDEX(Sheet2!A$2:A$6,MATCH(O155,Sheet2!C$2:C$6,0)))</f>
        <v>0</v>
      </c>
      <c r="W155" s="12">
        <f>IF(P155="",0,INDEX(Sheet2!A$2:A$6,MATCH(P155,Sheet2!C$2:C$6,0)))</f>
        <v>0</v>
      </c>
      <c r="X155" s="12">
        <f>IF(Q155="",0,INDEX(Sheet2!A$2:A$6,MATCH(Q155,Sheet2!C$2:C$6,0)))</f>
        <v>0</v>
      </c>
      <c r="Y155" s="12">
        <f>IF(R155="",0,INDEX(Sheet2!A$2:A$6,MATCH(R155,Sheet2!C$2:C$6,0)))</f>
        <v>0</v>
      </c>
      <c r="Z155" s="12">
        <f t="shared" si="5"/>
        <v>0</v>
      </c>
      <c r="AA155" s="12" t="str">
        <f>IF(I155&gt;=7500,"E",IF(I155&gt;=6800,"D",IF(I155&gt;=4200,"C",IF(I155&gt;=3000,"B",IF(I155&gt;=750,"A","Below Slab")))))</f>
        <v>A</v>
      </c>
      <c r="AB155" s="19" t="str">
        <f>IF(I155&gt;=7500,"Samsung front-load washing machine",IF(I155&gt;=6800,"Apple iPad",IF(I155&gt;=4200,"Robot Vacuum cleaner",IF(I155&gt;=3000,"Sony - sound bar, woofer and speakers",IF(I155&gt;=750,"Foot massager","Not eligible")))))</f>
        <v>Foot massager</v>
      </c>
    </row>
    <row r="156" spans="1:28" customFormat="1">
      <c r="A156" s="1" t="s">
        <v>496</v>
      </c>
      <c r="B156" s="21" t="s">
        <v>497</v>
      </c>
      <c r="C156" s="21" t="s">
        <v>52</v>
      </c>
      <c r="D156" s="1" t="s">
        <v>25</v>
      </c>
      <c r="E156" s="1" t="s">
        <v>498</v>
      </c>
      <c r="F156" s="1" t="s">
        <v>115</v>
      </c>
      <c r="G156" s="1" t="s">
        <v>9</v>
      </c>
      <c r="H156" s="23">
        <v>106.09</v>
      </c>
      <c r="I156" s="23">
        <v>3182.7</v>
      </c>
      <c r="J156" s="2" t="str">
        <f t="shared" si="4"/>
        <v/>
      </c>
      <c r="K156" s="2" t="str">
        <f>IF(J156="","",I156-J156)</f>
        <v/>
      </c>
      <c r="L156" s="1" t="s">
        <v>134</v>
      </c>
      <c r="M156" s="12"/>
      <c r="N156" s="12"/>
      <c r="O156" s="12"/>
      <c r="P156" s="12"/>
      <c r="Q156" s="12"/>
      <c r="R156" s="12"/>
      <c r="S156" s="12"/>
      <c r="T156" s="12">
        <f>IF(M156="",0,INDEX(Sheet2!A$2:A$6,MATCH(M156,Sheet2!C$2:C$6,0)))</f>
        <v>0</v>
      </c>
      <c r="U156" s="12">
        <f>IF(N156="",0,INDEX(Sheet2!A$2:A$6,MATCH(N156,Sheet2!C$2:C$6,0)))</f>
        <v>0</v>
      </c>
      <c r="V156" s="12">
        <f>IF(O156="",0,INDEX(Sheet2!A$2:A$6,MATCH(O156,Sheet2!C$2:C$6,0)))</f>
        <v>0</v>
      </c>
      <c r="W156" s="12">
        <f>IF(P156="",0,INDEX(Sheet2!A$2:A$6,MATCH(P156,Sheet2!C$2:C$6,0)))</f>
        <v>0</v>
      </c>
      <c r="X156" s="12">
        <f>IF(Q156="",0,INDEX(Sheet2!A$2:A$6,MATCH(Q156,Sheet2!C$2:C$6,0)))</f>
        <v>0</v>
      </c>
      <c r="Y156" s="12">
        <f>IF(R156="",0,INDEX(Sheet2!A$2:A$6,MATCH(R156,Sheet2!C$2:C$6,0)))</f>
        <v>0</v>
      </c>
      <c r="Z156" s="12">
        <f t="shared" si="5"/>
        <v>0</v>
      </c>
      <c r="AA156" s="12" t="str">
        <f>IF(I156&gt;=7500,"E",IF(I156&gt;=6800,"D",IF(I156&gt;=4200,"C",IF(I156&gt;=3000,"B",IF(I156&gt;=750,"A","Below Slab")))))</f>
        <v>B</v>
      </c>
      <c r="AB156" s="19" t="str">
        <f>IF(I156&gt;=7500,"Samsung front-load washing machine",IF(I156&gt;=6800,"Apple iPad",IF(I156&gt;=4200,"Robot Vacuum cleaner",IF(I156&gt;=3000,"Sony - sound bar, woofer and speakers",IF(I156&gt;=750,"Foot massager","Not eligible")))))</f>
        <v>Sony - sound bar, woofer and speakers</v>
      </c>
    </row>
    <row r="157" spans="1:28" customFormat="1">
      <c r="A157" s="1" t="s">
        <v>499</v>
      </c>
      <c r="B157" s="21" t="s">
        <v>500</v>
      </c>
      <c r="C157" s="21" t="s">
        <v>52</v>
      </c>
      <c r="D157" s="1" t="s">
        <v>25</v>
      </c>
      <c r="E157" s="1" t="s">
        <v>501</v>
      </c>
      <c r="F157" s="1" t="s">
        <v>115</v>
      </c>
      <c r="G157" s="1" t="s">
        <v>9</v>
      </c>
      <c r="H157" s="23">
        <v>189.23000000000002</v>
      </c>
      <c r="I157" s="23">
        <v>6149.9750000000004</v>
      </c>
      <c r="J157" s="2" t="str">
        <f t="shared" si="4"/>
        <v/>
      </c>
      <c r="K157" s="2" t="str">
        <f>IF(J157="","",I157-J157)</f>
        <v/>
      </c>
      <c r="L157" s="1" t="s">
        <v>77</v>
      </c>
      <c r="M157" s="12"/>
      <c r="N157" s="12"/>
      <c r="O157" s="12"/>
      <c r="P157" s="12"/>
      <c r="Q157" s="12"/>
      <c r="R157" s="12"/>
      <c r="S157" s="12"/>
      <c r="T157" s="12">
        <f>IF(M157="",0,INDEX(Sheet2!A$2:A$6,MATCH(M157,Sheet2!C$2:C$6,0)))</f>
        <v>0</v>
      </c>
      <c r="U157" s="12">
        <f>IF(N157="",0,INDEX(Sheet2!A$2:A$6,MATCH(N157,Sheet2!C$2:C$6,0)))</f>
        <v>0</v>
      </c>
      <c r="V157" s="12">
        <f>IF(O157="",0,INDEX(Sheet2!A$2:A$6,MATCH(O157,Sheet2!C$2:C$6,0)))</f>
        <v>0</v>
      </c>
      <c r="W157" s="12">
        <f>IF(P157="",0,INDEX(Sheet2!A$2:A$6,MATCH(P157,Sheet2!C$2:C$6,0)))</f>
        <v>0</v>
      </c>
      <c r="X157" s="12">
        <f>IF(Q157="",0,INDEX(Sheet2!A$2:A$6,MATCH(Q157,Sheet2!C$2:C$6,0)))</f>
        <v>0</v>
      </c>
      <c r="Y157" s="12">
        <f>IF(R157="",0,INDEX(Sheet2!A$2:A$6,MATCH(R157,Sheet2!C$2:C$6,0)))</f>
        <v>0</v>
      </c>
      <c r="Z157" s="12">
        <f t="shared" si="5"/>
        <v>0</v>
      </c>
      <c r="AA157" s="12" t="str">
        <f>IF(I157&gt;=7500,"E",IF(I157&gt;=6800,"D",IF(I157&gt;=4200,"C",IF(I157&gt;=3000,"B",IF(I157&gt;=750,"A","Below Slab")))))</f>
        <v>C</v>
      </c>
      <c r="AB157" s="19" t="str">
        <f>IF(I157&gt;=7500,"Samsung front-load washing machine",IF(I157&gt;=6800,"Apple iPad",IF(I157&gt;=4200,"Robot Vacuum cleaner",IF(I157&gt;=3000,"Sony - sound bar, woofer and speakers",IF(I157&gt;=750,"Foot massager","Not eligible")))))</f>
        <v>Robot Vacuum cleaner</v>
      </c>
    </row>
    <row r="158" spans="1:28" customFormat="1">
      <c r="A158" s="1" t="s">
        <v>502</v>
      </c>
      <c r="B158" s="21" t="s">
        <v>503</v>
      </c>
      <c r="C158" s="21" t="s">
        <v>52</v>
      </c>
      <c r="D158" s="1" t="s">
        <v>25</v>
      </c>
      <c r="E158" s="1" t="s">
        <v>501</v>
      </c>
      <c r="F158" s="1" t="s">
        <v>115</v>
      </c>
      <c r="G158" s="1" t="s">
        <v>9</v>
      </c>
      <c r="H158" s="23">
        <v>405</v>
      </c>
      <c r="I158" s="23">
        <v>15187.5</v>
      </c>
      <c r="J158" s="2" t="str">
        <f t="shared" si="4"/>
        <v/>
      </c>
      <c r="K158" s="2" t="str">
        <f>IF(J158="","",I158-J158)</f>
        <v/>
      </c>
      <c r="L158" s="1" t="s">
        <v>81</v>
      </c>
      <c r="M158" s="12"/>
      <c r="N158" s="12"/>
      <c r="O158" s="12"/>
      <c r="P158" s="12"/>
      <c r="Q158" s="12"/>
      <c r="R158" s="12"/>
      <c r="S158" s="12"/>
      <c r="T158" s="12">
        <f>IF(M158="",0,INDEX(Sheet2!A$2:A$6,MATCH(M158,Sheet2!C$2:C$6,0)))</f>
        <v>0</v>
      </c>
      <c r="U158" s="12">
        <f>IF(N158="",0,INDEX(Sheet2!A$2:A$6,MATCH(N158,Sheet2!C$2:C$6,0)))</f>
        <v>0</v>
      </c>
      <c r="V158" s="12">
        <f>IF(O158="",0,INDEX(Sheet2!A$2:A$6,MATCH(O158,Sheet2!C$2:C$6,0)))</f>
        <v>0</v>
      </c>
      <c r="W158" s="12">
        <f>IF(P158="",0,INDEX(Sheet2!A$2:A$6,MATCH(P158,Sheet2!C$2:C$6,0)))</f>
        <v>0</v>
      </c>
      <c r="X158" s="12">
        <f>IF(Q158="",0,INDEX(Sheet2!A$2:A$6,MATCH(Q158,Sheet2!C$2:C$6,0)))</f>
        <v>0</v>
      </c>
      <c r="Y158" s="12">
        <f>IF(R158="",0,INDEX(Sheet2!A$2:A$6,MATCH(R158,Sheet2!C$2:C$6,0)))</f>
        <v>0</v>
      </c>
      <c r="Z158" s="12">
        <f t="shared" si="5"/>
        <v>0</v>
      </c>
      <c r="AA158" s="12" t="str">
        <f>IF(I158&gt;=7500,"E",IF(I158&gt;=6800,"D",IF(I158&gt;=4200,"C",IF(I158&gt;=3000,"B",IF(I158&gt;=750,"A","Below Slab")))))</f>
        <v>E</v>
      </c>
      <c r="AB158" s="19" t="str">
        <f>IF(I158&gt;=7500,"Samsung front-load washing machine",IF(I158&gt;=6800,"Apple iPad",IF(I158&gt;=4200,"Robot Vacuum cleaner",IF(I158&gt;=3000,"Sony - sound bar, woofer and speakers",IF(I158&gt;=750,"Foot massager","Not eligible")))))</f>
        <v>Samsung front-load washing machine</v>
      </c>
    </row>
    <row r="159" spans="1:28" customFormat="1">
      <c r="A159" s="1" t="s">
        <v>504</v>
      </c>
      <c r="B159" s="21" t="s">
        <v>505</v>
      </c>
      <c r="C159" s="21" t="s">
        <v>52</v>
      </c>
      <c r="D159" s="1" t="s">
        <v>25</v>
      </c>
      <c r="E159" s="1" t="s">
        <v>501</v>
      </c>
      <c r="F159" s="1" t="s">
        <v>115</v>
      </c>
      <c r="G159" s="1" t="s">
        <v>9</v>
      </c>
      <c r="H159" s="23">
        <v>76</v>
      </c>
      <c r="I159" s="23">
        <v>2090</v>
      </c>
      <c r="J159" s="2" t="str">
        <f t="shared" si="4"/>
        <v/>
      </c>
      <c r="K159" s="2" t="str">
        <f>IF(J159="","",I159-J159)</f>
        <v/>
      </c>
      <c r="L159" s="1" t="s">
        <v>73</v>
      </c>
      <c r="M159" s="12"/>
      <c r="N159" s="12"/>
      <c r="O159" s="12"/>
      <c r="P159" s="12"/>
      <c r="Q159" s="12"/>
      <c r="R159" s="12"/>
      <c r="S159" s="12"/>
      <c r="T159" s="12">
        <f>IF(M159="",0,INDEX(Sheet2!A$2:A$6,MATCH(M159,Sheet2!C$2:C$6,0)))</f>
        <v>0</v>
      </c>
      <c r="U159" s="12">
        <f>IF(N159="",0,INDEX(Sheet2!A$2:A$6,MATCH(N159,Sheet2!C$2:C$6,0)))</f>
        <v>0</v>
      </c>
      <c r="V159" s="12">
        <f>IF(O159="",0,INDEX(Sheet2!A$2:A$6,MATCH(O159,Sheet2!C$2:C$6,0)))</f>
        <v>0</v>
      </c>
      <c r="W159" s="12">
        <f>IF(P159="",0,INDEX(Sheet2!A$2:A$6,MATCH(P159,Sheet2!C$2:C$6,0)))</f>
        <v>0</v>
      </c>
      <c r="X159" s="12">
        <f>IF(Q159="",0,INDEX(Sheet2!A$2:A$6,MATCH(Q159,Sheet2!C$2:C$6,0)))</f>
        <v>0</v>
      </c>
      <c r="Y159" s="12">
        <f>IF(R159="",0,INDEX(Sheet2!A$2:A$6,MATCH(R159,Sheet2!C$2:C$6,0)))</f>
        <v>0</v>
      </c>
      <c r="Z159" s="12">
        <f t="shared" si="5"/>
        <v>0</v>
      </c>
      <c r="AA159" s="12" t="str">
        <f>IF(I159&gt;=7500,"E",IF(I159&gt;=6800,"D",IF(I159&gt;=4200,"C",IF(I159&gt;=3000,"B",IF(I159&gt;=750,"A","Below Slab")))))</f>
        <v>A</v>
      </c>
      <c r="AB159" s="19" t="str">
        <f>IF(I159&gt;=7500,"Samsung front-load washing machine",IF(I159&gt;=6800,"Apple iPad",IF(I159&gt;=4200,"Robot Vacuum cleaner",IF(I159&gt;=3000,"Sony - sound bar, woofer and speakers",IF(I159&gt;=750,"Foot massager","Not eligible")))))</f>
        <v>Foot massager</v>
      </c>
    </row>
    <row r="160" spans="1:28" customFormat="1">
      <c r="A160" s="1" t="s">
        <v>506</v>
      </c>
      <c r="B160" s="21" t="s">
        <v>507</v>
      </c>
      <c r="C160" s="21" t="s">
        <v>52</v>
      </c>
      <c r="D160" s="1" t="s">
        <v>25</v>
      </c>
      <c r="E160" s="1" t="s">
        <v>508</v>
      </c>
      <c r="F160" s="1" t="s">
        <v>115</v>
      </c>
      <c r="G160" s="1" t="s">
        <v>9</v>
      </c>
      <c r="H160" s="23">
        <v>32</v>
      </c>
      <c r="I160" s="23">
        <v>800</v>
      </c>
      <c r="J160" s="2" t="str">
        <f t="shared" si="4"/>
        <v/>
      </c>
      <c r="K160" s="2" t="str">
        <f>IF(J160="","",I160-J160)</f>
        <v/>
      </c>
      <c r="L160" s="1" t="s">
        <v>73</v>
      </c>
      <c r="M160" s="12"/>
      <c r="N160" s="12"/>
      <c r="O160" s="12"/>
      <c r="P160" s="12"/>
      <c r="Q160" s="12"/>
      <c r="R160" s="12"/>
      <c r="S160" s="12"/>
      <c r="T160" s="12">
        <f>IF(M160="",0,INDEX(Sheet2!A$2:A$6,MATCH(M160,Sheet2!C$2:C$6,0)))</f>
        <v>0</v>
      </c>
      <c r="U160" s="12">
        <f>IF(N160="",0,INDEX(Sheet2!A$2:A$6,MATCH(N160,Sheet2!C$2:C$6,0)))</f>
        <v>0</v>
      </c>
      <c r="V160" s="12">
        <f>IF(O160="",0,INDEX(Sheet2!A$2:A$6,MATCH(O160,Sheet2!C$2:C$6,0)))</f>
        <v>0</v>
      </c>
      <c r="W160" s="12">
        <f>IF(P160="",0,INDEX(Sheet2!A$2:A$6,MATCH(P160,Sheet2!C$2:C$6,0)))</f>
        <v>0</v>
      </c>
      <c r="X160" s="12">
        <f>IF(Q160="",0,INDEX(Sheet2!A$2:A$6,MATCH(Q160,Sheet2!C$2:C$6,0)))</f>
        <v>0</v>
      </c>
      <c r="Y160" s="12">
        <f>IF(R160="",0,INDEX(Sheet2!A$2:A$6,MATCH(R160,Sheet2!C$2:C$6,0)))</f>
        <v>0</v>
      </c>
      <c r="Z160" s="12">
        <f t="shared" si="5"/>
        <v>0</v>
      </c>
      <c r="AA160" s="12" t="str">
        <f>IF(I160&gt;=7500,"E",IF(I160&gt;=6800,"D",IF(I160&gt;=4200,"C",IF(I160&gt;=3000,"B",IF(I160&gt;=750,"A","Below Slab")))))</f>
        <v>A</v>
      </c>
      <c r="AB160" s="19" t="str">
        <f>IF(I160&gt;=7500,"Samsung front-load washing machine",IF(I160&gt;=6800,"Apple iPad",IF(I160&gt;=4200,"Robot Vacuum cleaner",IF(I160&gt;=3000,"Sony - sound bar, woofer and speakers",IF(I160&gt;=750,"Foot massager","Not eligible")))))</f>
        <v>Foot massager</v>
      </c>
    </row>
    <row r="161" spans="1:28" customFormat="1">
      <c r="A161" s="1" t="s">
        <v>509</v>
      </c>
      <c r="B161" s="21" t="s">
        <v>510</v>
      </c>
      <c r="C161" s="21" t="s">
        <v>52</v>
      </c>
      <c r="D161" s="1" t="s">
        <v>25</v>
      </c>
      <c r="E161" s="1" t="s">
        <v>501</v>
      </c>
      <c r="F161" s="1" t="s">
        <v>115</v>
      </c>
      <c r="G161" s="1" t="s">
        <v>9</v>
      </c>
      <c r="H161" s="23">
        <v>156.26</v>
      </c>
      <c r="I161" s="23">
        <v>5078.45</v>
      </c>
      <c r="J161" s="2" t="str">
        <f t="shared" si="4"/>
        <v/>
      </c>
      <c r="K161" s="2" t="str">
        <f>IF(J161="","",I161-J161)</f>
        <v/>
      </c>
      <c r="L161" s="1" t="s">
        <v>77</v>
      </c>
      <c r="M161" s="12"/>
      <c r="N161" s="12"/>
      <c r="O161" s="12"/>
      <c r="P161" s="12"/>
      <c r="Q161" s="12"/>
      <c r="R161" s="12"/>
      <c r="S161" s="12"/>
      <c r="T161" s="12">
        <f>IF(M161="",0,INDEX(Sheet2!A$2:A$6,MATCH(M161,Sheet2!C$2:C$6,0)))</f>
        <v>0</v>
      </c>
      <c r="U161" s="12">
        <f>IF(N161="",0,INDEX(Sheet2!A$2:A$6,MATCH(N161,Sheet2!C$2:C$6,0)))</f>
        <v>0</v>
      </c>
      <c r="V161" s="12">
        <f>IF(O161="",0,INDEX(Sheet2!A$2:A$6,MATCH(O161,Sheet2!C$2:C$6,0)))</f>
        <v>0</v>
      </c>
      <c r="W161" s="12">
        <f>IF(P161="",0,INDEX(Sheet2!A$2:A$6,MATCH(P161,Sheet2!C$2:C$6,0)))</f>
        <v>0</v>
      </c>
      <c r="X161" s="12">
        <f>IF(Q161="",0,INDEX(Sheet2!A$2:A$6,MATCH(Q161,Sheet2!C$2:C$6,0)))</f>
        <v>0</v>
      </c>
      <c r="Y161" s="12">
        <f>IF(R161="",0,INDEX(Sheet2!A$2:A$6,MATCH(R161,Sheet2!C$2:C$6,0)))</f>
        <v>0</v>
      </c>
      <c r="Z161" s="12">
        <f t="shared" si="5"/>
        <v>0</v>
      </c>
      <c r="AA161" s="12" t="str">
        <f>IF(I161&gt;=7500,"E",IF(I161&gt;=6800,"D",IF(I161&gt;=4200,"C",IF(I161&gt;=3000,"B",IF(I161&gt;=750,"A","Below Slab")))))</f>
        <v>C</v>
      </c>
      <c r="AB161" s="19" t="str">
        <f>IF(I161&gt;=7500,"Samsung front-load washing machine",IF(I161&gt;=6800,"Apple iPad",IF(I161&gt;=4200,"Robot Vacuum cleaner",IF(I161&gt;=3000,"Sony - sound bar, woofer and speakers",IF(I161&gt;=750,"Foot massager","Not eligible")))))</f>
        <v>Robot Vacuum cleaner</v>
      </c>
    </row>
    <row r="162" spans="1:28" customFormat="1">
      <c r="A162" s="1" t="s">
        <v>511</v>
      </c>
      <c r="B162" s="21" t="s">
        <v>512</v>
      </c>
      <c r="C162" s="21" t="s">
        <v>54</v>
      </c>
      <c r="D162" s="1" t="s">
        <v>25</v>
      </c>
      <c r="E162" s="1" t="s">
        <v>513</v>
      </c>
      <c r="F162" s="1" t="s">
        <v>115</v>
      </c>
      <c r="G162" s="1" t="s">
        <v>9</v>
      </c>
      <c r="H162" s="23">
        <v>305.85000000000002</v>
      </c>
      <c r="I162" s="23">
        <v>11469.375000000002</v>
      </c>
      <c r="J162" s="2" t="str">
        <f t="shared" si="4"/>
        <v/>
      </c>
      <c r="K162" s="2" t="str">
        <f>IF(J162="","",I162-J162)</f>
        <v/>
      </c>
      <c r="L162" s="1" t="s">
        <v>81</v>
      </c>
      <c r="M162" s="12"/>
      <c r="N162" s="12"/>
      <c r="O162" s="12"/>
      <c r="P162" s="12"/>
      <c r="Q162" s="12"/>
      <c r="R162" s="12"/>
      <c r="S162" s="12"/>
      <c r="T162" s="12">
        <f>IF(M162="",0,INDEX(Sheet2!A$2:A$6,MATCH(M162,Sheet2!C$2:C$6,0)))</f>
        <v>0</v>
      </c>
      <c r="U162" s="12">
        <f>IF(N162="",0,INDEX(Sheet2!A$2:A$6,MATCH(N162,Sheet2!C$2:C$6,0)))</f>
        <v>0</v>
      </c>
      <c r="V162" s="12">
        <f>IF(O162="",0,INDEX(Sheet2!A$2:A$6,MATCH(O162,Sheet2!C$2:C$6,0)))</f>
        <v>0</v>
      </c>
      <c r="W162" s="12">
        <f>IF(P162="",0,INDEX(Sheet2!A$2:A$6,MATCH(P162,Sheet2!C$2:C$6,0)))</f>
        <v>0</v>
      </c>
      <c r="X162" s="12">
        <f>IF(Q162="",0,INDEX(Sheet2!A$2:A$6,MATCH(Q162,Sheet2!C$2:C$6,0)))</f>
        <v>0</v>
      </c>
      <c r="Y162" s="12">
        <f>IF(R162="",0,INDEX(Sheet2!A$2:A$6,MATCH(R162,Sheet2!C$2:C$6,0)))</f>
        <v>0</v>
      </c>
      <c r="Z162" s="12">
        <f t="shared" si="5"/>
        <v>0</v>
      </c>
      <c r="AA162" s="12" t="str">
        <f>IF(I162&gt;=7500,"E",IF(I162&gt;=6800,"D",IF(I162&gt;=4200,"C",IF(I162&gt;=3000,"B",IF(I162&gt;=750,"A","Below Slab")))))</f>
        <v>E</v>
      </c>
      <c r="AB162" s="19" t="str">
        <f>IF(I162&gt;=7500,"Samsung front-load washing machine",IF(I162&gt;=6800,"Apple iPad",IF(I162&gt;=4200,"Robot Vacuum cleaner",IF(I162&gt;=3000,"Sony - sound bar, woofer and speakers",IF(I162&gt;=750,"Foot massager","Not eligible")))))</f>
        <v>Samsung front-load washing machine</v>
      </c>
    </row>
    <row r="163" spans="1:28" customFormat="1">
      <c r="A163" s="1" t="s">
        <v>514</v>
      </c>
      <c r="B163" s="21" t="s">
        <v>515</v>
      </c>
      <c r="C163" s="21" t="s">
        <v>54</v>
      </c>
      <c r="D163" s="1" t="s">
        <v>25</v>
      </c>
      <c r="E163" s="1" t="s">
        <v>516</v>
      </c>
      <c r="F163" s="1" t="s">
        <v>115</v>
      </c>
      <c r="G163" s="1" t="s">
        <v>9</v>
      </c>
      <c r="H163" s="23">
        <v>40</v>
      </c>
      <c r="I163" s="23">
        <v>1000</v>
      </c>
      <c r="J163" s="2" t="str">
        <f t="shared" si="4"/>
        <v/>
      </c>
      <c r="K163" s="2" t="str">
        <f>IF(J163="","",I163-J163)</f>
        <v/>
      </c>
      <c r="L163" s="1" t="s">
        <v>73</v>
      </c>
      <c r="M163" s="12"/>
      <c r="N163" s="12"/>
      <c r="O163" s="12"/>
      <c r="P163" s="12"/>
      <c r="Q163" s="12"/>
      <c r="R163" s="12"/>
      <c r="S163" s="12"/>
      <c r="T163" s="12">
        <f>IF(M163="",0,INDEX(Sheet2!A$2:A$6,MATCH(M163,Sheet2!C$2:C$6,0)))</f>
        <v>0</v>
      </c>
      <c r="U163" s="12">
        <f>IF(N163="",0,INDEX(Sheet2!A$2:A$6,MATCH(N163,Sheet2!C$2:C$6,0)))</f>
        <v>0</v>
      </c>
      <c r="V163" s="12">
        <f>IF(O163="",0,INDEX(Sheet2!A$2:A$6,MATCH(O163,Sheet2!C$2:C$6,0)))</f>
        <v>0</v>
      </c>
      <c r="W163" s="12">
        <f>IF(P163="",0,INDEX(Sheet2!A$2:A$6,MATCH(P163,Sheet2!C$2:C$6,0)))</f>
        <v>0</v>
      </c>
      <c r="X163" s="12">
        <f>IF(Q163="",0,INDEX(Sheet2!A$2:A$6,MATCH(Q163,Sheet2!C$2:C$6,0)))</f>
        <v>0</v>
      </c>
      <c r="Y163" s="12">
        <f>IF(R163="",0,INDEX(Sheet2!A$2:A$6,MATCH(R163,Sheet2!C$2:C$6,0)))</f>
        <v>0</v>
      </c>
      <c r="Z163" s="12">
        <f t="shared" si="5"/>
        <v>0</v>
      </c>
      <c r="AA163" s="12" t="str">
        <f>IF(I163&gt;=7500,"E",IF(I163&gt;=6800,"D",IF(I163&gt;=4200,"C",IF(I163&gt;=3000,"B",IF(I163&gt;=750,"A","Below Slab")))))</f>
        <v>A</v>
      </c>
      <c r="AB163" s="19" t="str">
        <f>IF(I163&gt;=7500,"Samsung front-load washing machine",IF(I163&gt;=6800,"Apple iPad",IF(I163&gt;=4200,"Robot Vacuum cleaner",IF(I163&gt;=3000,"Sony - sound bar, woofer and speakers",IF(I163&gt;=750,"Foot massager","Not eligible")))))</f>
        <v>Foot massager</v>
      </c>
    </row>
    <row r="164" spans="1:28" customFormat="1">
      <c r="A164" s="1" t="s">
        <v>517</v>
      </c>
      <c r="B164" s="21" t="s">
        <v>518</v>
      </c>
      <c r="C164" s="21" t="s">
        <v>54</v>
      </c>
      <c r="D164" s="1" t="s">
        <v>25</v>
      </c>
      <c r="E164" s="1" t="s">
        <v>513</v>
      </c>
      <c r="F164" s="1" t="s">
        <v>115</v>
      </c>
      <c r="G164" s="1" t="s">
        <v>9</v>
      </c>
      <c r="H164" s="23">
        <v>174.36999999999998</v>
      </c>
      <c r="I164" s="23">
        <v>5667.0249999999987</v>
      </c>
      <c r="J164" s="2" t="str">
        <f t="shared" si="4"/>
        <v/>
      </c>
      <c r="K164" s="2" t="str">
        <f>IF(J164="","",I164-J164)</f>
        <v/>
      </c>
      <c r="L164" s="1" t="s">
        <v>77</v>
      </c>
      <c r="M164" s="12"/>
      <c r="N164" s="12"/>
      <c r="O164" s="12"/>
      <c r="P164" s="12"/>
      <c r="Q164" s="12"/>
      <c r="R164" s="12"/>
      <c r="S164" s="12"/>
      <c r="T164" s="12">
        <f>IF(M164="",0,INDEX(Sheet2!A$2:A$6,MATCH(M164,Sheet2!C$2:C$6,0)))</f>
        <v>0</v>
      </c>
      <c r="U164" s="12">
        <f>IF(N164="",0,INDEX(Sheet2!A$2:A$6,MATCH(N164,Sheet2!C$2:C$6,0)))</f>
        <v>0</v>
      </c>
      <c r="V164" s="12">
        <f>IF(O164="",0,INDEX(Sheet2!A$2:A$6,MATCH(O164,Sheet2!C$2:C$6,0)))</f>
        <v>0</v>
      </c>
      <c r="W164" s="12">
        <f>IF(P164="",0,INDEX(Sheet2!A$2:A$6,MATCH(P164,Sheet2!C$2:C$6,0)))</f>
        <v>0</v>
      </c>
      <c r="X164" s="12">
        <f>IF(Q164="",0,INDEX(Sheet2!A$2:A$6,MATCH(Q164,Sheet2!C$2:C$6,0)))</f>
        <v>0</v>
      </c>
      <c r="Y164" s="12">
        <f>IF(R164="",0,INDEX(Sheet2!A$2:A$6,MATCH(R164,Sheet2!C$2:C$6,0)))</f>
        <v>0</v>
      </c>
      <c r="Z164" s="12">
        <f t="shared" si="5"/>
        <v>0</v>
      </c>
      <c r="AA164" s="12" t="str">
        <f>IF(I164&gt;=7500,"E",IF(I164&gt;=6800,"D",IF(I164&gt;=4200,"C",IF(I164&gt;=3000,"B",IF(I164&gt;=750,"A","Below Slab")))))</f>
        <v>C</v>
      </c>
      <c r="AB164" s="19" t="str">
        <f>IF(I164&gt;=7500,"Samsung front-load washing machine",IF(I164&gt;=6800,"Apple iPad",IF(I164&gt;=4200,"Robot Vacuum cleaner",IF(I164&gt;=3000,"Sony - sound bar, woofer and speakers",IF(I164&gt;=750,"Foot massager","Not eligible")))))</f>
        <v>Robot Vacuum cleaner</v>
      </c>
    </row>
    <row r="165" spans="1:28" customFormat="1">
      <c r="A165" s="1" t="s">
        <v>519</v>
      </c>
      <c r="B165" s="21" t="s">
        <v>520</v>
      </c>
      <c r="C165" s="21" t="s">
        <v>54</v>
      </c>
      <c r="D165" s="1" t="s">
        <v>25</v>
      </c>
      <c r="E165" s="1" t="s">
        <v>521</v>
      </c>
      <c r="F165" s="1" t="s">
        <v>115</v>
      </c>
      <c r="G165" s="1" t="s">
        <v>9</v>
      </c>
      <c r="H165" s="23">
        <v>44.16</v>
      </c>
      <c r="I165" s="23">
        <v>1104</v>
      </c>
      <c r="J165" s="2" t="str">
        <f t="shared" si="4"/>
        <v/>
      </c>
      <c r="K165" s="2" t="str">
        <f>IF(J165="","",I165-J165)</f>
        <v/>
      </c>
      <c r="L165" s="1" t="s">
        <v>73</v>
      </c>
      <c r="M165" s="12"/>
      <c r="N165" s="12"/>
      <c r="O165" s="12"/>
      <c r="P165" s="12"/>
      <c r="Q165" s="12"/>
      <c r="R165" s="12"/>
      <c r="S165" s="12"/>
      <c r="T165" s="12">
        <f>IF(M165="",0,INDEX(Sheet2!A$2:A$6,MATCH(M165,Sheet2!C$2:C$6,0)))</f>
        <v>0</v>
      </c>
      <c r="U165" s="12">
        <f>IF(N165="",0,INDEX(Sheet2!A$2:A$6,MATCH(N165,Sheet2!C$2:C$6,0)))</f>
        <v>0</v>
      </c>
      <c r="V165" s="12">
        <f>IF(O165="",0,INDEX(Sheet2!A$2:A$6,MATCH(O165,Sheet2!C$2:C$6,0)))</f>
        <v>0</v>
      </c>
      <c r="W165" s="12">
        <f>IF(P165="",0,INDEX(Sheet2!A$2:A$6,MATCH(P165,Sheet2!C$2:C$6,0)))</f>
        <v>0</v>
      </c>
      <c r="X165" s="12">
        <f>IF(Q165="",0,INDEX(Sheet2!A$2:A$6,MATCH(Q165,Sheet2!C$2:C$6,0)))</f>
        <v>0</v>
      </c>
      <c r="Y165" s="12">
        <f>IF(R165="",0,INDEX(Sheet2!A$2:A$6,MATCH(R165,Sheet2!C$2:C$6,0)))</f>
        <v>0</v>
      </c>
      <c r="Z165" s="12">
        <f t="shared" si="5"/>
        <v>0</v>
      </c>
      <c r="AA165" s="12" t="str">
        <f>IF(I165&gt;=7500,"E",IF(I165&gt;=6800,"D",IF(I165&gt;=4200,"C",IF(I165&gt;=3000,"B",IF(I165&gt;=750,"A","Below Slab")))))</f>
        <v>A</v>
      </c>
      <c r="AB165" s="19" t="str">
        <f>IF(I165&gt;=7500,"Samsung front-load washing machine",IF(I165&gt;=6800,"Apple iPad",IF(I165&gt;=4200,"Robot Vacuum cleaner",IF(I165&gt;=3000,"Sony - sound bar, woofer and speakers",IF(I165&gt;=750,"Foot massager","Not eligible")))))</f>
        <v>Foot massager</v>
      </c>
    </row>
    <row r="166" spans="1:28" customFormat="1">
      <c r="A166" s="1" t="s">
        <v>522</v>
      </c>
      <c r="B166" s="21" t="s">
        <v>523</v>
      </c>
      <c r="C166" s="21" t="s">
        <v>54</v>
      </c>
      <c r="D166" s="1" t="s">
        <v>25</v>
      </c>
      <c r="E166" s="1" t="s">
        <v>524</v>
      </c>
      <c r="F166" s="1" t="s">
        <v>115</v>
      </c>
      <c r="G166" s="1" t="s">
        <v>9</v>
      </c>
      <c r="H166" s="23">
        <v>66.160000000000011</v>
      </c>
      <c r="I166" s="23">
        <v>1819.4000000000003</v>
      </c>
      <c r="J166" s="2" t="str">
        <f t="shared" si="4"/>
        <v/>
      </c>
      <c r="K166" s="2" t="str">
        <f>IF(J166="","",I166-J166)</f>
        <v/>
      </c>
      <c r="L166" s="1" t="s">
        <v>73</v>
      </c>
      <c r="M166" s="12"/>
      <c r="N166" s="12"/>
      <c r="O166" s="12"/>
      <c r="P166" s="12"/>
      <c r="Q166" s="12"/>
      <c r="R166" s="12"/>
      <c r="S166" s="12"/>
      <c r="T166" s="12">
        <f>IF(M166="",0,INDEX(Sheet2!A$2:A$6,MATCH(M166,Sheet2!C$2:C$6,0)))</f>
        <v>0</v>
      </c>
      <c r="U166" s="12">
        <f>IF(N166="",0,INDEX(Sheet2!A$2:A$6,MATCH(N166,Sheet2!C$2:C$6,0)))</f>
        <v>0</v>
      </c>
      <c r="V166" s="12">
        <f>IF(O166="",0,INDEX(Sheet2!A$2:A$6,MATCH(O166,Sheet2!C$2:C$6,0)))</f>
        <v>0</v>
      </c>
      <c r="W166" s="12">
        <f>IF(P166="",0,INDEX(Sheet2!A$2:A$6,MATCH(P166,Sheet2!C$2:C$6,0)))</f>
        <v>0</v>
      </c>
      <c r="X166" s="12">
        <f>IF(Q166="",0,INDEX(Sheet2!A$2:A$6,MATCH(Q166,Sheet2!C$2:C$6,0)))</f>
        <v>0</v>
      </c>
      <c r="Y166" s="12">
        <f>IF(R166="",0,INDEX(Sheet2!A$2:A$6,MATCH(R166,Sheet2!C$2:C$6,0)))</f>
        <v>0</v>
      </c>
      <c r="Z166" s="12">
        <f t="shared" si="5"/>
        <v>0</v>
      </c>
      <c r="AA166" s="12" t="str">
        <f>IF(I166&gt;=7500,"E",IF(I166&gt;=6800,"D",IF(I166&gt;=4200,"C",IF(I166&gt;=3000,"B",IF(I166&gt;=750,"A","Below Slab")))))</f>
        <v>A</v>
      </c>
      <c r="AB166" s="19" t="str">
        <f>IF(I166&gt;=7500,"Samsung front-load washing machine",IF(I166&gt;=6800,"Apple iPad",IF(I166&gt;=4200,"Robot Vacuum cleaner",IF(I166&gt;=3000,"Sony - sound bar, woofer and speakers",IF(I166&gt;=750,"Foot massager","Not eligible")))))</f>
        <v>Foot massager</v>
      </c>
    </row>
    <row r="167" spans="1:28" customFormat="1">
      <c r="A167" s="1" t="s">
        <v>525</v>
      </c>
      <c r="B167" s="21" t="s">
        <v>32</v>
      </c>
      <c r="C167" s="21" t="s">
        <v>64</v>
      </c>
      <c r="D167" s="1" t="s">
        <v>25</v>
      </c>
      <c r="E167" s="1" t="s">
        <v>524</v>
      </c>
      <c r="F167" s="1" t="s">
        <v>115</v>
      </c>
      <c r="G167" s="1" t="s">
        <v>9</v>
      </c>
      <c r="H167" s="23">
        <v>43</v>
      </c>
      <c r="I167" s="23">
        <v>1075</v>
      </c>
      <c r="J167" s="2" t="str">
        <f t="shared" si="4"/>
        <v/>
      </c>
      <c r="K167" s="2" t="str">
        <f>IF(J167="","",I167-J167)</f>
        <v/>
      </c>
      <c r="L167" s="1" t="s">
        <v>73</v>
      </c>
      <c r="M167" s="12"/>
      <c r="N167" s="12"/>
      <c r="O167" s="12"/>
      <c r="P167" s="12"/>
      <c r="Q167" s="12"/>
      <c r="R167" s="12"/>
      <c r="S167" s="12"/>
      <c r="T167" s="12">
        <f>IF(M167="",0,INDEX(Sheet2!A$2:A$6,MATCH(M167,Sheet2!C$2:C$6,0)))</f>
        <v>0</v>
      </c>
      <c r="U167" s="12">
        <f>IF(N167="",0,INDEX(Sheet2!A$2:A$6,MATCH(N167,Sheet2!C$2:C$6,0)))</f>
        <v>0</v>
      </c>
      <c r="V167" s="12">
        <f>IF(O167="",0,INDEX(Sheet2!A$2:A$6,MATCH(O167,Sheet2!C$2:C$6,0)))</f>
        <v>0</v>
      </c>
      <c r="W167" s="12">
        <f>IF(P167="",0,INDEX(Sheet2!A$2:A$6,MATCH(P167,Sheet2!C$2:C$6,0)))</f>
        <v>0</v>
      </c>
      <c r="X167" s="12">
        <f>IF(Q167="",0,INDEX(Sheet2!A$2:A$6,MATCH(Q167,Sheet2!C$2:C$6,0)))</f>
        <v>0</v>
      </c>
      <c r="Y167" s="12">
        <f>IF(R167="",0,INDEX(Sheet2!A$2:A$6,MATCH(R167,Sheet2!C$2:C$6,0)))</f>
        <v>0</v>
      </c>
      <c r="Z167" s="12">
        <f t="shared" si="5"/>
        <v>0</v>
      </c>
      <c r="AA167" s="12" t="str">
        <f>IF(I167&gt;=7500,"E",IF(I167&gt;=6800,"D",IF(I167&gt;=4200,"C",IF(I167&gt;=3000,"B",IF(I167&gt;=750,"A","Below Slab")))))</f>
        <v>A</v>
      </c>
      <c r="AB167" s="19" t="str">
        <f>IF(I167&gt;=7500,"Samsung front-load washing machine",IF(I167&gt;=6800,"Apple iPad",IF(I167&gt;=4200,"Robot Vacuum cleaner",IF(I167&gt;=3000,"Sony - sound bar, woofer and speakers",IF(I167&gt;=750,"Foot massager","Not eligible")))))</f>
        <v>Foot massager</v>
      </c>
    </row>
    <row r="168" spans="1:28" customFormat="1">
      <c r="A168" s="1" t="s">
        <v>526</v>
      </c>
      <c r="B168" s="21" t="s">
        <v>527</v>
      </c>
      <c r="C168" s="21" t="s">
        <v>38</v>
      </c>
      <c r="D168" s="1" t="s">
        <v>26</v>
      </c>
      <c r="E168" s="1" t="s">
        <v>528</v>
      </c>
      <c r="F168" s="1" t="s">
        <v>115</v>
      </c>
      <c r="G168" s="1" t="s">
        <v>9</v>
      </c>
      <c r="H168" s="23">
        <v>186.34</v>
      </c>
      <c r="I168" s="23">
        <v>6056.05</v>
      </c>
      <c r="J168" s="2" t="str">
        <f t="shared" si="4"/>
        <v/>
      </c>
      <c r="K168" s="2" t="str">
        <f>IF(J168="","",I168-J168)</f>
        <v/>
      </c>
      <c r="L168" s="1" t="s">
        <v>77</v>
      </c>
      <c r="M168" s="12"/>
      <c r="N168" s="12"/>
      <c r="O168" s="12"/>
      <c r="P168" s="12"/>
      <c r="Q168" s="12"/>
      <c r="R168" s="12"/>
      <c r="S168" s="12"/>
      <c r="T168" s="12">
        <f>IF(M168="",0,INDEX(Sheet2!A$2:A$6,MATCH(M168,Sheet2!C$2:C$6,0)))</f>
        <v>0</v>
      </c>
      <c r="U168" s="12">
        <f>IF(N168="",0,INDEX(Sheet2!A$2:A$6,MATCH(N168,Sheet2!C$2:C$6,0)))</f>
        <v>0</v>
      </c>
      <c r="V168" s="12">
        <f>IF(O168="",0,INDEX(Sheet2!A$2:A$6,MATCH(O168,Sheet2!C$2:C$6,0)))</f>
        <v>0</v>
      </c>
      <c r="W168" s="12">
        <f>IF(P168="",0,INDEX(Sheet2!A$2:A$6,MATCH(P168,Sheet2!C$2:C$6,0)))</f>
        <v>0</v>
      </c>
      <c r="X168" s="12">
        <f>IF(Q168="",0,INDEX(Sheet2!A$2:A$6,MATCH(Q168,Sheet2!C$2:C$6,0)))</f>
        <v>0</v>
      </c>
      <c r="Y168" s="12">
        <f>IF(R168="",0,INDEX(Sheet2!A$2:A$6,MATCH(R168,Sheet2!C$2:C$6,0)))</f>
        <v>0</v>
      </c>
      <c r="Z168" s="12">
        <f t="shared" si="5"/>
        <v>0</v>
      </c>
      <c r="AA168" s="12" t="str">
        <f>IF(I168&gt;=7500,"E",IF(I168&gt;=6800,"D",IF(I168&gt;=4200,"C",IF(I168&gt;=3000,"B",IF(I168&gt;=750,"A","Below Slab")))))</f>
        <v>C</v>
      </c>
      <c r="AB168" s="19" t="str">
        <f>IF(I168&gt;=7500,"Samsung front-load washing machine",IF(I168&gt;=6800,"Apple iPad",IF(I168&gt;=4200,"Robot Vacuum cleaner",IF(I168&gt;=3000,"Sony - sound bar, woofer and speakers",IF(I168&gt;=750,"Foot massager","Not eligible")))))</f>
        <v>Robot Vacuum cleaner</v>
      </c>
    </row>
    <row r="169" spans="1:28" customFormat="1">
      <c r="A169" s="1" t="s">
        <v>529</v>
      </c>
      <c r="B169" s="21" t="s">
        <v>530</v>
      </c>
      <c r="C169" s="21" t="s">
        <v>38</v>
      </c>
      <c r="D169" s="1" t="s">
        <v>26</v>
      </c>
      <c r="E169" s="1" t="s">
        <v>531</v>
      </c>
      <c r="F169" s="1" t="s">
        <v>115</v>
      </c>
      <c r="G169" s="1" t="s">
        <v>9</v>
      </c>
      <c r="H169" s="23">
        <v>92.070000000000007</v>
      </c>
      <c r="I169" s="23">
        <v>2531.9250000000002</v>
      </c>
      <c r="J169" s="2" t="str">
        <f t="shared" si="4"/>
        <v/>
      </c>
      <c r="K169" s="2" t="str">
        <f>IF(J169="","",I169-J169)</f>
        <v/>
      </c>
      <c r="L169" s="1" t="s">
        <v>73</v>
      </c>
      <c r="M169" s="12"/>
      <c r="N169" s="12"/>
      <c r="O169" s="12"/>
      <c r="P169" s="12"/>
      <c r="Q169" s="12"/>
      <c r="R169" s="12"/>
      <c r="S169" s="12"/>
      <c r="T169" s="12">
        <f>IF(M169="",0,INDEX(Sheet2!A$2:A$6,MATCH(M169,Sheet2!C$2:C$6,0)))</f>
        <v>0</v>
      </c>
      <c r="U169" s="12">
        <f>IF(N169="",0,INDEX(Sheet2!A$2:A$6,MATCH(N169,Sheet2!C$2:C$6,0)))</f>
        <v>0</v>
      </c>
      <c r="V169" s="12">
        <f>IF(O169="",0,INDEX(Sheet2!A$2:A$6,MATCH(O169,Sheet2!C$2:C$6,0)))</f>
        <v>0</v>
      </c>
      <c r="W169" s="12">
        <f>IF(P169="",0,INDEX(Sheet2!A$2:A$6,MATCH(P169,Sheet2!C$2:C$6,0)))</f>
        <v>0</v>
      </c>
      <c r="X169" s="12">
        <f>IF(Q169="",0,INDEX(Sheet2!A$2:A$6,MATCH(Q169,Sheet2!C$2:C$6,0)))</f>
        <v>0</v>
      </c>
      <c r="Y169" s="12">
        <f>IF(R169="",0,INDEX(Sheet2!A$2:A$6,MATCH(R169,Sheet2!C$2:C$6,0)))</f>
        <v>0</v>
      </c>
      <c r="Z169" s="12">
        <f t="shared" si="5"/>
        <v>0</v>
      </c>
      <c r="AA169" s="12" t="str">
        <f>IF(I169&gt;=7500,"E",IF(I169&gt;=6800,"D",IF(I169&gt;=4200,"C",IF(I169&gt;=3000,"B",IF(I169&gt;=750,"A","Below Slab")))))</f>
        <v>A</v>
      </c>
      <c r="AB169" s="19" t="str">
        <f>IF(I169&gt;=7500,"Samsung front-load washing machine",IF(I169&gt;=6800,"Apple iPad",IF(I169&gt;=4200,"Robot Vacuum cleaner",IF(I169&gt;=3000,"Sony - sound bar, woofer and speakers",IF(I169&gt;=750,"Foot massager","Not eligible")))))</f>
        <v>Foot massager</v>
      </c>
    </row>
    <row r="170" spans="1:28" customFormat="1">
      <c r="A170" s="1" t="s">
        <v>532</v>
      </c>
      <c r="B170" s="21" t="s">
        <v>533</v>
      </c>
      <c r="C170" s="21" t="s">
        <v>38</v>
      </c>
      <c r="D170" s="1" t="s">
        <v>26</v>
      </c>
      <c r="E170" s="1" t="s">
        <v>534</v>
      </c>
      <c r="F170" s="1" t="s">
        <v>115</v>
      </c>
      <c r="G170" s="1" t="s">
        <v>9</v>
      </c>
      <c r="H170" s="23">
        <v>43.09</v>
      </c>
      <c r="I170" s="23">
        <v>1077.25</v>
      </c>
      <c r="J170" s="2" t="str">
        <f t="shared" si="4"/>
        <v/>
      </c>
      <c r="K170" s="2" t="str">
        <f>IF(J170="","",I170-J170)</f>
        <v/>
      </c>
      <c r="L170" s="1" t="s">
        <v>73</v>
      </c>
      <c r="M170" s="12"/>
      <c r="N170" s="12"/>
      <c r="O170" s="12"/>
      <c r="P170" s="12"/>
      <c r="Q170" s="12"/>
      <c r="R170" s="12"/>
      <c r="S170" s="12"/>
      <c r="T170" s="12">
        <f>IF(M170="",0,INDEX(Sheet2!A$2:A$6,MATCH(M170,Sheet2!C$2:C$6,0)))</f>
        <v>0</v>
      </c>
      <c r="U170" s="12">
        <f>IF(N170="",0,INDEX(Sheet2!A$2:A$6,MATCH(N170,Sheet2!C$2:C$6,0)))</f>
        <v>0</v>
      </c>
      <c r="V170" s="12">
        <f>IF(O170="",0,INDEX(Sheet2!A$2:A$6,MATCH(O170,Sheet2!C$2:C$6,0)))</f>
        <v>0</v>
      </c>
      <c r="W170" s="12">
        <f>IF(P170="",0,INDEX(Sheet2!A$2:A$6,MATCH(P170,Sheet2!C$2:C$6,0)))</f>
        <v>0</v>
      </c>
      <c r="X170" s="12">
        <f>IF(Q170="",0,INDEX(Sheet2!A$2:A$6,MATCH(Q170,Sheet2!C$2:C$6,0)))</f>
        <v>0</v>
      </c>
      <c r="Y170" s="12">
        <f>IF(R170="",0,INDEX(Sheet2!A$2:A$6,MATCH(R170,Sheet2!C$2:C$6,0)))</f>
        <v>0</v>
      </c>
      <c r="Z170" s="12">
        <f t="shared" si="5"/>
        <v>0</v>
      </c>
      <c r="AA170" s="12" t="str">
        <f>IF(I170&gt;=7500,"E",IF(I170&gt;=6800,"D",IF(I170&gt;=4200,"C",IF(I170&gt;=3000,"B",IF(I170&gt;=750,"A","Below Slab")))))</f>
        <v>A</v>
      </c>
      <c r="AB170" s="19" t="str">
        <f>IF(I170&gt;=7500,"Samsung front-load washing machine",IF(I170&gt;=6800,"Apple iPad",IF(I170&gt;=4200,"Robot Vacuum cleaner",IF(I170&gt;=3000,"Sony - sound bar, woofer and speakers",IF(I170&gt;=750,"Foot massager","Not eligible")))))</f>
        <v>Foot massager</v>
      </c>
    </row>
    <row r="171" spans="1:28" customFormat="1">
      <c r="A171" s="1" t="s">
        <v>535</v>
      </c>
      <c r="B171" s="21" t="s">
        <v>536</v>
      </c>
      <c r="C171" s="21" t="s">
        <v>38</v>
      </c>
      <c r="D171" s="1" t="s">
        <v>26</v>
      </c>
      <c r="E171" s="1" t="s">
        <v>531</v>
      </c>
      <c r="F171" s="1" t="s">
        <v>115</v>
      </c>
      <c r="G171" s="1" t="s">
        <v>9</v>
      </c>
      <c r="H171" s="23">
        <v>311.54000000000002</v>
      </c>
      <c r="I171" s="23">
        <v>11682.750000000002</v>
      </c>
      <c r="J171" s="2" t="str">
        <f t="shared" si="4"/>
        <v/>
      </c>
      <c r="K171" s="2" t="str">
        <f>IF(J171="","",I171-J171)</f>
        <v/>
      </c>
      <c r="L171" s="1" t="s">
        <v>81</v>
      </c>
      <c r="M171" s="12"/>
      <c r="N171" s="12"/>
      <c r="O171" s="12"/>
      <c r="P171" s="12"/>
      <c r="Q171" s="12"/>
      <c r="R171" s="12"/>
      <c r="S171" s="12"/>
      <c r="T171" s="12">
        <f>IF(M171="",0,INDEX(Sheet2!A$2:A$6,MATCH(M171,Sheet2!C$2:C$6,0)))</f>
        <v>0</v>
      </c>
      <c r="U171" s="12">
        <f>IF(N171="",0,INDEX(Sheet2!A$2:A$6,MATCH(N171,Sheet2!C$2:C$6,0)))</f>
        <v>0</v>
      </c>
      <c r="V171" s="12">
        <f>IF(O171="",0,INDEX(Sheet2!A$2:A$6,MATCH(O171,Sheet2!C$2:C$6,0)))</f>
        <v>0</v>
      </c>
      <c r="W171" s="12">
        <f>IF(P171="",0,INDEX(Sheet2!A$2:A$6,MATCH(P171,Sheet2!C$2:C$6,0)))</f>
        <v>0</v>
      </c>
      <c r="X171" s="12">
        <f>IF(Q171="",0,INDEX(Sheet2!A$2:A$6,MATCH(Q171,Sheet2!C$2:C$6,0)))</f>
        <v>0</v>
      </c>
      <c r="Y171" s="12">
        <f>IF(R171="",0,INDEX(Sheet2!A$2:A$6,MATCH(R171,Sheet2!C$2:C$6,0)))</f>
        <v>0</v>
      </c>
      <c r="Z171" s="12">
        <f t="shared" si="5"/>
        <v>0</v>
      </c>
      <c r="AA171" s="12" t="str">
        <f>IF(I171&gt;=7500,"E",IF(I171&gt;=6800,"D",IF(I171&gt;=4200,"C",IF(I171&gt;=3000,"B",IF(I171&gt;=750,"A","Below Slab")))))</f>
        <v>E</v>
      </c>
      <c r="AB171" s="19" t="str">
        <f>IF(I171&gt;=7500,"Samsung front-load washing machine",IF(I171&gt;=6800,"Apple iPad",IF(I171&gt;=4200,"Robot Vacuum cleaner",IF(I171&gt;=3000,"Sony - sound bar, woofer and speakers",IF(I171&gt;=750,"Foot massager","Not eligible")))))</f>
        <v>Samsung front-load washing machine</v>
      </c>
    </row>
    <row r="172" spans="1:28" customFormat="1">
      <c r="A172" s="1" t="s">
        <v>537</v>
      </c>
      <c r="B172" s="21" t="s">
        <v>538</v>
      </c>
      <c r="C172" s="21" t="s">
        <v>38</v>
      </c>
      <c r="D172" s="1" t="s">
        <v>26</v>
      </c>
      <c r="E172" s="1" t="s">
        <v>539</v>
      </c>
      <c r="F172" s="1" t="s">
        <v>115</v>
      </c>
      <c r="G172" s="1" t="s">
        <v>9</v>
      </c>
      <c r="H172" s="23">
        <v>326.98</v>
      </c>
      <c r="I172" s="23">
        <v>12261.75</v>
      </c>
      <c r="J172" s="2" t="str">
        <f t="shared" si="4"/>
        <v/>
      </c>
      <c r="K172" s="2" t="str">
        <f>IF(J172="","",I172-J172)</f>
        <v/>
      </c>
      <c r="L172" s="1" t="s">
        <v>81</v>
      </c>
      <c r="M172" s="12"/>
      <c r="N172" s="12"/>
      <c r="O172" s="12"/>
      <c r="P172" s="12"/>
      <c r="Q172" s="12"/>
      <c r="R172" s="12"/>
      <c r="S172" s="12"/>
      <c r="T172" s="12">
        <f>IF(M172="",0,INDEX(Sheet2!A$2:A$6,MATCH(M172,Sheet2!C$2:C$6,0)))</f>
        <v>0</v>
      </c>
      <c r="U172" s="12">
        <f>IF(N172="",0,INDEX(Sheet2!A$2:A$6,MATCH(N172,Sheet2!C$2:C$6,0)))</f>
        <v>0</v>
      </c>
      <c r="V172" s="12">
        <f>IF(O172="",0,INDEX(Sheet2!A$2:A$6,MATCH(O172,Sheet2!C$2:C$6,0)))</f>
        <v>0</v>
      </c>
      <c r="W172" s="12">
        <f>IF(P172="",0,INDEX(Sheet2!A$2:A$6,MATCH(P172,Sheet2!C$2:C$6,0)))</f>
        <v>0</v>
      </c>
      <c r="X172" s="12">
        <f>IF(Q172="",0,INDEX(Sheet2!A$2:A$6,MATCH(Q172,Sheet2!C$2:C$6,0)))</f>
        <v>0</v>
      </c>
      <c r="Y172" s="12">
        <f>IF(R172="",0,INDEX(Sheet2!A$2:A$6,MATCH(R172,Sheet2!C$2:C$6,0)))</f>
        <v>0</v>
      </c>
      <c r="Z172" s="12">
        <f t="shared" si="5"/>
        <v>0</v>
      </c>
      <c r="AA172" s="12" t="str">
        <f>IF(I172&gt;=7500,"E",IF(I172&gt;=6800,"D",IF(I172&gt;=4200,"C",IF(I172&gt;=3000,"B",IF(I172&gt;=750,"A","Below Slab")))))</f>
        <v>E</v>
      </c>
      <c r="AB172" s="19" t="str">
        <f>IF(I172&gt;=7500,"Samsung front-load washing machine",IF(I172&gt;=6800,"Apple iPad",IF(I172&gt;=4200,"Robot Vacuum cleaner",IF(I172&gt;=3000,"Sony - sound bar, woofer and speakers",IF(I172&gt;=750,"Foot massager","Not eligible")))))</f>
        <v>Samsung front-load washing machine</v>
      </c>
    </row>
    <row r="173" spans="1:28" customFormat="1">
      <c r="A173" s="1" t="s">
        <v>540</v>
      </c>
      <c r="B173" s="21" t="s">
        <v>541</v>
      </c>
      <c r="C173" s="21" t="s">
        <v>38</v>
      </c>
      <c r="D173" s="1" t="s">
        <v>26</v>
      </c>
      <c r="E173" s="1" t="s">
        <v>539</v>
      </c>
      <c r="F173" s="1" t="s">
        <v>115</v>
      </c>
      <c r="G173" s="1" t="s">
        <v>9</v>
      </c>
      <c r="H173" s="23">
        <v>160.79</v>
      </c>
      <c r="I173" s="23">
        <v>5225.6750000000002</v>
      </c>
      <c r="J173" s="2" t="str">
        <f t="shared" si="4"/>
        <v/>
      </c>
      <c r="K173" s="2" t="str">
        <f>IF(J173="","",I173-J173)</f>
        <v/>
      </c>
      <c r="L173" s="1" t="s">
        <v>77</v>
      </c>
      <c r="M173" s="12"/>
      <c r="N173" s="12"/>
      <c r="O173" s="12"/>
      <c r="P173" s="12"/>
      <c r="Q173" s="12"/>
      <c r="R173" s="12"/>
      <c r="S173" s="12"/>
      <c r="T173" s="12">
        <f>IF(M173="",0,INDEX(Sheet2!A$2:A$6,MATCH(M173,Sheet2!C$2:C$6,0)))</f>
        <v>0</v>
      </c>
      <c r="U173" s="12">
        <f>IF(N173="",0,INDEX(Sheet2!A$2:A$6,MATCH(N173,Sheet2!C$2:C$6,0)))</f>
        <v>0</v>
      </c>
      <c r="V173" s="12">
        <f>IF(O173="",0,INDEX(Sheet2!A$2:A$6,MATCH(O173,Sheet2!C$2:C$6,0)))</f>
        <v>0</v>
      </c>
      <c r="W173" s="12">
        <f>IF(P173="",0,INDEX(Sheet2!A$2:A$6,MATCH(P173,Sheet2!C$2:C$6,0)))</f>
        <v>0</v>
      </c>
      <c r="X173" s="12">
        <f>IF(Q173="",0,INDEX(Sheet2!A$2:A$6,MATCH(Q173,Sheet2!C$2:C$6,0)))</f>
        <v>0</v>
      </c>
      <c r="Y173" s="12">
        <f>IF(R173="",0,INDEX(Sheet2!A$2:A$6,MATCH(R173,Sheet2!C$2:C$6,0)))</f>
        <v>0</v>
      </c>
      <c r="Z173" s="12">
        <f t="shared" si="5"/>
        <v>0</v>
      </c>
      <c r="AA173" s="12" t="str">
        <f>IF(I173&gt;=7500,"E",IF(I173&gt;=6800,"D",IF(I173&gt;=4200,"C",IF(I173&gt;=3000,"B",IF(I173&gt;=750,"A","Below Slab")))))</f>
        <v>C</v>
      </c>
      <c r="AB173" s="19" t="str">
        <f>IF(I173&gt;=7500,"Samsung front-load washing machine",IF(I173&gt;=6800,"Apple iPad",IF(I173&gt;=4200,"Robot Vacuum cleaner",IF(I173&gt;=3000,"Sony - sound bar, woofer and speakers",IF(I173&gt;=750,"Foot massager","Not eligible")))))</f>
        <v>Robot Vacuum cleaner</v>
      </c>
    </row>
    <row r="174" spans="1:28" customFormat="1">
      <c r="A174" s="1" t="s">
        <v>542</v>
      </c>
      <c r="B174" s="21" t="s">
        <v>543</v>
      </c>
      <c r="C174" s="21" t="s">
        <v>38</v>
      </c>
      <c r="D174" s="1" t="s">
        <v>26</v>
      </c>
      <c r="E174" s="1" t="s">
        <v>539</v>
      </c>
      <c r="F174" s="1" t="s">
        <v>115</v>
      </c>
      <c r="G174" s="1" t="s">
        <v>9</v>
      </c>
      <c r="H174" s="23">
        <v>61.930000000000007</v>
      </c>
      <c r="I174" s="23">
        <v>1703.0750000000005</v>
      </c>
      <c r="J174" s="2" t="str">
        <f t="shared" si="4"/>
        <v/>
      </c>
      <c r="K174" s="2" t="str">
        <f>IF(J174="","",I174-J174)</f>
        <v/>
      </c>
      <c r="L174" s="1" t="s">
        <v>73</v>
      </c>
      <c r="M174" s="12"/>
      <c r="N174" s="12"/>
      <c r="O174" s="12"/>
      <c r="P174" s="12"/>
      <c r="Q174" s="12"/>
      <c r="R174" s="12"/>
      <c r="S174" s="12"/>
      <c r="T174" s="12">
        <f>IF(M174="",0,INDEX(Sheet2!A$2:A$6,MATCH(M174,Sheet2!C$2:C$6,0)))</f>
        <v>0</v>
      </c>
      <c r="U174" s="12">
        <f>IF(N174="",0,INDEX(Sheet2!A$2:A$6,MATCH(N174,Sheet2!C$2:C$6,0)))</f>
        <v>0</v>
      </c>
      <c r="V174" s="12">
        <f>IF(O174="",0,INDEX(Sheet2!A$2:A$6,MATCH(O174,Sheet2!C$2:C$6,0)))</f>
        <v>0</v>
      </c>
      <c r="W174" s="12">
        <f>IF(P174="",0,INDEX(Sheet2!A$2:A$6,MATCH(P174,Sheet2!C$2:C$6,0)))</f>
        <v>0</v>
      </c>
      <c r="X174" s="12">
        <f>IF(Q174="",0,INDEX(Sheet2!A$2:A$6,MATCH(Q174,Sheet2!C$2:C$6,0)))</f>
        <v>0</v>
      </c>
      <c r="Y174" s="12">
        <f>IF(R174="",0,INDEX(Sheet2!A$2:A$6,MATCH(R174,Sheet2!C$2:C$6,0)))</f>
        <v>0</v>
      </c>
      <c r="Z174" s="12">
        <f t="shared" si="5"/>
        <v>0</v>
      </c>
      <c r="AA174" s="12" t="str">
        <f>IF(I174&gt;=7500,"E",IF(I174&gt;=6800,"D",IF(I174&gt;=4200,"C",IF(I174&gt;=3000,"B",IF(I174&gt;=750,"A","Below Slab")))))</f>
        <v>A</v>
      </c>
      <c r="AB174" s="19" t="str">
        <f>IF(I174&gt;=7500,"Samsung front-load washing machine",IF(I174&gt;=6800,"Apple iPad",IF(I174&gt;=4200,"Robot Vacuum cleaner",IF(I174&gt;=3000,"Sony - sound bar, woofer and speakers",IF(I174&gt;=750,"Foot massager","Not eligible")))))</f>
        <v>Foot massager</v>
      </c>
    </row>
    <row r="175" spans="1:28" customFormat="1">
      <c r="A175" s="1" t="s">
        <v>544</v>
      </c>
      <c r="B175" s="21" t="s">
        <v>545</v>
      </c>
      <c r="C175" s="21" t="s">
        <v>38</v>
      </c>
      <c r="D175" s="1" t="s">
        <v>26</v>
      </c>
      <c r="E175" s="1" t="s">
        <v>528</v>
      </c>
      <c r="F175" s="1" t="s">
        <v>115</v>
      </c>
      <c r="G175" s="1" t="s">
        <v>9</v>
      </c>
      <c r="H175" s="23">
        <v>142.04</v>
      </c>
      <c r="I175" s="23">
        <v>4261.2</v>
      </c>
      <c r="J175" s="2" t="str">
        <f t="shared" si="4"/>
        <v/>
      </c>
      <c r="K175" s="2" t="str">
        <f>IF(J175="","",I175-J175)</f>
        <v/>
      </c>
      <c r="L175" s="1" t="s">
        <v>77</v>
      </c>
      <c r="M175" s="12"/>
      <c r="N175" s="12"/>
      <c r="O175" s="12"/>
      <c r="P175" s="12"/>
      <c r="Q175" s="12"/>
      <c r="R175" s="12"/>
      <c r="S175" s="12"/>
      <c r="T175" s="12">
        <f>IF(M175="",0,INDEX(Sheet2!A$2:A$6,MATCH(M175,Sheet2!C$2:C$6,0)))</f>
        <v>0</v>
      </c>
      <c r="U175" s="12">
        <f>IF(N175="",0,INDEX(Sheet2!A$2:A$6,MATCH(N175,Sheet2!C$2:C$6,0)))</f>
        <v>0</v>
      </c>
      <c r="V175" s="12">
        <f>IF(O175="",0,INDEX(Sheet2!A$2:A$6,MATCH(O175,Sheet2!C$2:C$6,0)))</f>
        <v>0</v>
      </c>
      <c r="W175" s="12">
        <f>IF(P175="",0,INDEX(Sheet2!A$2:A$6,MATCH(P175,Sheet2!C$2:C$6,0)))</f>
        <v>0</v>
      </c>
      <c r="X175" s="12">
        <f>IF(Q175="",0,INDEX(Sheet2!A$2:A$6,MATCH(Q175,Sheet2!C$2:C$6,0)))</f>
        <v>0</v>
      </c>
      <c r="Y175" s="12">
        <f>IF(R175="",0,INDEX(Sheet2!A$2:A$6,MATCH(R175,Sheet2!C$2:C$6,0)))</f>
        <v>0</v>
      </c>
      <c r="Z175" s="12">
        <f t="shared" si="5"/>
        <v>0</v>
      </c>
      <c r="AA175" s="12" t="str">
        <f>IF(I175&gt;=7500,"E",IF(I175&gt;=6800,"D",IF(I175&gt;=4200,"C",IF(I175&gt;=3000,"B",IF(I175&gt;=750,"A","Below Slab")))))</f>
        <v>C</v>
      </c>
      <c r="AB175" s="19" t="str">
        <f>IF(I175&gt;=7500,"Samsung front-load washing machine",IF(I175&gt;=6800,"Apple iPad",IF(I175&gt;=4200,"Robot Vacuum cleaner",IF(I175&gt;=3000,"Sony - sound bar, woofer and speakers",IF(I175&gt;=750,"Foot massager","Not eligible")))))</f>
        <v>Robot Vacuum cleaner</v>
      </c>
    </row>
    <row r="176" spans="1:28" customFormat="1">
      <c r="A176" s="1" t="s">
        <v>546</v>
      </c>
      <c r="B176" s="21" t="s">
        <v>547</v>
      </c>
      <c r="C176" s="21" t="s">
        <v>38</v>
      </c>
      <c r="D176" s="1" t="s">
        <v>26</v>
      </c>
      <c r="E176" s="1" t="s">
        <v>548</v>
      </c>
      <c r="F176" s="1" t="s">
        <v>115</v>
      </c>
      <c r="G176" s="1" t="s">
        <v>9</v>
      </c>
      <c r="H176" s="23">
        <v>41.069999999999993</v>
      </c>
      <c r="I176" s="23">
        <v>1026.7499999999998</v>
      </c>
      <c r="J176" s="2" t="str">
        <f t="shared" si="4"/>
        <v/>
      </c>
      <c r="K176" s="2" t="str">
        <f>IF(J176="","",I176-J176)</f>
        <v/>
      </c>
      <c r="L176" s="1" t="s">
        <v>73</v>
      </c>
      <c r="M176" s="12"/>
      <c r="N176" s="12"/>
      <c r="O176" s="12"/>
      <c r="P176" s="12"/>
      <c r="Q176" s="12"/>
      <c r="R176" s="12"/>
      <c r="S176" s="12"/>
      <c r="T176" s="12">
        <f>IF(M176="",0,INDEX(Sheet2!A$2:A$6,MATCH(M176,Sheet2!C$2:C$6,0)))</f>
        <v>0</v>
      </c>
      <c r="U176" s="12">
        <f>IF(N176="",0,INDEX(Sheet2!A$2:A$6,MATCH(N176,Sheet2!C$2:C$6,0)))</f>
        <v>0</v>
      </c>
      <c r="V176" s="12">
        <f>IF(O176="",0,INDEX(Sheet2!A$2:A$6,MATCH(O176,Sheet2!C$2:C$6,0)))</f>
        <v>0</v>
      </c>
      <c r="W176" s="12">
        <f>IF(P176="",0,INDEX(Sheet2!A$2:A$6,MATCH(P176,Sheet2!C$2:C$6,0)))</f>
        <v>0</v>
      </c>
      <c r="X176" s="12">
        <f>IF(Q176="",0,INDEX(Sheet2!A$2:A$6,MATCH(Q176,Sheet2!C$2:C$6,0)))</f>
        <v>0</v>
      </c>
      <c r="Y176" s="12">
        <f>IF(R176="",0,INDEX(Sheet2!A$2:A$6,MATCH(R176,Sheet2!C$2:C$6,0)))</f>
        <v>0</v>
      </c>
      <c r="Z176" s="12">
        <f t="shared" si="5"/>
        <v>0</v>
      </c>
      <c r="AA176" s="12" t="str">
        <f>IF(I176&gt;=7500,"E",IF(I176&gt;=6800,"D",IF(I176&gt;=4200,"C",IF(I176&gt;=3000,"B",IF(I176&gt;=750,"A","Below Slab")))))</f>
        <v>A</v>
      </c>
      <c r="AB176" s="19" t="str">
        <f>IF(I176&gt;=7500,"Samsung front-load washing machine",IF(I176&gt;=6800,"Apple iPad",IF(I176&gt;=4200,"Robot Vacuum cleaner",IF(I176&gt;=3000,"Sony - sound bar, woofer and speakers",IF(I176&gt;=750,"Foot massager","Not eligible")))))</f>
        <v>Foot massager</v>
      </c>
    </row>
    <row r="177" spans="1:28" customFormat="1">
      <c r="A177" s="1" t="s">
        <v>549</v>
      </c>
      <c r="B177" s="21" t="s">
        <v>550</v>
      </c>
      <c r="C177" s="21" t="s">
        <v>38</v>
      </c>
      <c r="D177" s="1" t="s">
        <v>26</v>
      </c>
      <c r="E177" s="1" t="s">
        <v>551</v>
      </c>
      <c r="F177" s="1" t="s">
        <v>115</v>
      </c>
      <c r="G177" s="1" t="s">
        <v>9</v>
      </c>
      <c r="H177" s="23">
        <v>89.08</v>
      </c>
      <c r="I177" s="23">
        <v>2449.7000000000003</v>
      </c>
      <c r="J177" s="2" t="str">
        <f t="shared" si="4"/>
        <v/>
      </c>
      <c r="K177" s="2" t="str">
        <f>IF(J177="","",I177-J177)</f>
        <v/>
      </c>
      <c r="L177" s="1" t="s">
        <v>73</v>
      </c>
      <c r="M177" s="12"/>
      <c r="N177" s="12"/>
      <c r="O177" s="12"/>
      <c r="P177" s="12"/>
      <c r="Q177" s="12"/>
      <c r="R177" s="12"/>
      <c r="S177" s="12"/>
      <c r="T177" s="12">
        <f>IF(M177="",0,INDEX(Sheet2!A$2:A$6,MATCH(M177,Sheet2!C$2:C$6,0)))</f>
        <v>0</v>
      </c>
      <c r="U177" s="12">
        <f>IF(N177="",0,INDEX(Sheet2!A$2:A$6,MATCH(N177,Sheet2!C$2:C$6,0)))</f>
        <v>0</v>
      </c>
      <c r="V177" s="12">
        <f>IF(O177="",0,INDEX(Sheet2!A$2:A$6,MATCH(O177,Sheet2!C$2:C$6,0)))</f>
        <v>0</v>
      </c>
      <c r="W177" s="12">
        <f>IF(P177="",0,INDEX(Sheet2!A$2:A$6,MATCH(P177,Sheet2!C$2:C$6,0)))</f>
        <v>0</v>
      </c>
      <c r="X177" s="12">
        <f>IF(Q177="",0,INDEX(Sheet2!A$2:A$6,MATCH(Q177,Sheet2!C$2:C$6,0)))</f>
        <v>0</v>
      </c>
      <c r="Y177" s="12">
        <f>IF(R177="",0,INDEX(Sheet2!A$2:A$6,MATCH(R177,Sheet2!C$2:C$6,0)))</f>
        <v>0</v>
      </c>
      <c r="Z177" s="12">
        <f t="shared" si="5"/>
        <v>0</v>
      </c>
      <c r="AA177" s="12" t="str">
        <f>IF(I177&gt;=7500,"E",IF(I177&gt;=6800,"D",IF(I177&gt;=4200,"C",IF(I177&gt;=3000,"B",IF(I177&gt;=750,"A","Below Slab")))))</f>
        <v>A</v>
      </c>
      <c r="AB177" s="19" t="str">
        <f>IF(I177&gt;=7500,"Samsung front-load washing machine",IF(I177&gt;=6800,"Apple iPad",IF(I177&gt;=4200,"Robot Vacuum cleaner",IF(I177&gt;=3000,"Sony - sound bar, woofer and speakers",IF(I177&gt;=750,"Foot massager","Not eligible")))))</f>
        <v>Foot massager</v>
      </c>
    </row>
    <row r="178" spans="1:28" customFormat="1">
      <c r="A178" s="1" t="s">
        <v>552</v>
      </c>
      <c r="B178" s="21" t="s">
        <v>553</v>
      </c>
      <c r="C178" s="21" t="s">
        <v>38</v>
      </c>
      <c r="D178" s="1" t="s">
        <v>26</v>
      </c>
      <c r="E178" s="1" t="s">
        <v>528</v>
      </c>
      <c r="F178" s="1" t="s">
        <v>115</v>
      </c>
      <c r="G178" s="1" t="s">
        <v>9</v>
      </c>
      <c r="H178" s="23">
        <v>531.17999999999995</v>
      </c>
      <c r="I178" s="23">
        <v>19919.249999999996</v>
      </c>
      <c r="J178" s="2" t="str">
        <f t="shared" si="4"/>
        <v/>
      </c>
      <c r="K178" s="2" t="str">
        <f>IF(J178="","",I178-J178)</f>
        <v/>
      </c>
      <c r="L178" s="1" t="s">
        <v>81</v>
      </c>
      <c r="M178" s="12"/>
      <c r="N178" s="12"/>
      <c r="O178" s="12"/>
      <c r="P178" s="12"/>
      <c r="Q178" s="12"/>
      <c r="R178" s="12"/>
      <c r="S178" s="12"/>
      <c r="T178" s="12">
        <f>IF(M178="",0,INDEX(Sheet2!A$2:A$6,MATCH(M178,Sheet2!C$2:C$6,0)))</f>
        <v>0</v>
      </c>
      <c r="U178" s="12">
        <f>IF(N178="",0,INDEX(Sheet2!A$2:A$6,MATCH(N178,Sheet2!C$2:C$6,0)))</f>
        <v>0</v>
      </c>
      <c r="V178" s="12">
        <f>IF(O178="",0,INDEX(Sheet2!A$2:A$6,MATCH(O178,Sheet2!C$2:C$6,0)))</f>
        <v>0</v>
      </c>
      <c r="W178" s="12">
        <f>IF(P178="",0,INDEX(Sheet2!A$2:A$6,MATCH(P178,Sheet2!C$2:C$6,0)))</f>
        <v>0</v>
      </c>
      <c r="X178" s="12">
        <f>IF(Q178="",0,INDEX(Sheet2!A$2:A$6,MATCH(Q178,Sheet2!C$2:C$6,0)))</f>
        <v>0</v>
      </c>
      <c r="Y178" s="12">
        <f>IF(R178="",0,INDEX(Sheet2!A$2:A$6,MATCH(R178,Sheet2!C$2:C$6,0)))</f>
        <v>0</v>
      </c>
      <c r="Z178" s="12">
        <f t="shared" si="5"/>
        <v>0</v>
      </c>
      <c r="AA178" s="12" t="str">
        <f>IF(I178&gt;=7500,"E",IF(I178&gt;=6800,"D",IF(I178&gt;=4200,"C",IF(I178&gt;=3000,"B",IF(I178&gt;=750,"A","Below Slab")))))</f>
        <v>E</v>
      </c>
      <c r="AB178" s="19" t="str">
        <f>IF(I178&gt;=7500,"Samsung front-load washing machine",IF(I178&gt;=6800,"Apple iPad",IF(I178&gt;=4200,"Robot Vacuum cleaner",IF(I178&gt;=3000,"Sony - sound bar, woofer and speakers",IF(I178&gt;=750,"Foot massager","Not eligible")))))</f>
        <v>Samsung front-load washing machine</v>
      </c>
    </row>
    <row r="179" spans="1:28" customFormat="1">
      <c r="A179" s="1" t="s">
        <v>554</v>
      </c>
      <c r="B179" s="21" t="s">
        <v>555</v>
      </c>
      <c r="C179" s="21" t="s">
        <v>38</v>
      </c>
      <c r="D179" s="1" t="s">
        <v>26</v>
      </c>
      <c r="E179" s="1" t="s">
        <v>528</v>
      </c>
      <c r="F179" s="1" t="s">
        <v>115</v>
      </c>
      <c r="G179" s="1" t="s">
        <v>9</v>
      </c>
      <c r="H179" s="23">
        <v>484.52</v>
      </c>
      <c r="I179" s="23">
        <v>18169.5</v>
      </c>
      <c r="J179" s="2" t="str">
        <f t="shared" si="4"/>
        <v/>
      </c>
      <c r="K179" s="2" t="str">
        <f>IF(J179="","",I179-J179)</f>
        <v/>
      </c>
      <c r="L179" s="1" t="s">
        <v>81</v>
      </c>
      <c r="M179" s="12"/>
      <c r="N179" s="12"/>
      <c r="O179" s="12"/>
      <c r="P179" s="12"/>
      <c r="Q179" s="12"/>
      <c r="R179" s="12"/>
      <c r="S179" s="12"/>
      <c r="T179" s="12">
        <f>IF(M179="",0,INDEX(Sheet2!A$2:A$6,MATCH(M179,Sheet2!C$2:C$6,0)))</f>
        <v>0</v>
      </c>
      <c r="U179" s="12">
        <f>IF(N179="",0,INDEX(Sheet2!A$2:A$6,MATCH(N179,Sheet2!C$2:C$6,0)))</f>
        <v>0</v>
      </c>
      <c r="V179" s="12">
        <f>IF(O179="",0,INDEX(Sheet2!A$2:A$6,MATCH(O179,Sheet2!C$2:C$6,0)))</f>
        <v>0</v>
      </c>
      <c r="W179" s="12">
        <f>IF(P179="",0,INDEX(Sheet2!A$2:A$6,MATCH(P179,Sheet2!C$2:C$6,0)))</f>
        <v>0</v>
      </c>
      <c r="X179" s="12">
        <f>IF(Q179="",0,INDEX(Sheet2!A$2:A$6,MATCH(Q179,Sheet2!C$2:C$6,0)))</f>
        <v>0</v>
      </c>
      <c r="Y179" s="12">
        <f>IF(R179="",0,INDEX(Sheet2!A$2:A$6,MATCH(R179,Sheet2!C$2:C$6,0)))</f>
        <v>0</v>
      </c>
      <c r="Z179" s="12">
        <f t="shared" si="5"/>
        <v>0</v>
      </c>
      <c r="AA179" s="12" t="str">
        <f>IF(I179&gt;=7500,"E",IF(I179&gt;=6800,"D",IF(I179&gt;=4200,"C",IF(I179&gt;=3000,"B",IF(I179&gt;=750,"A","Below Slab")))))</f>
        <v>E</v>
      </c>
      <c r="AB179" s="19" t="str">
        <f>IF(I179&gt;=7500,"Samsung front-load washing machine",IF(I179&gt;=6800,"Apple iPad",IF(I179&gt;=4200,"Robot Vacuum cleaner",IF(I179&gt;=3000,"Sony - sound bar, woofer and speakers",IF(I179&gt;=750,"Foot massager","Not eligible")))))</f>
        <v>Samsung front-load washing machine</v>
      </c>
    </row>
    <row r="180" spans="1:28" customFormat="1">
      <c r="A180" s="1" t="s">
        <v>556</v>
      </c>
      <c r="B180" s="21" t="s">
        <v>557</v>
      </c>
      <c r="C180" s="21" t="s">
        <v>38</v>
      </c>
      <c r="D180" s="1" t="s">
        <v>26</v>
      </c>
      <c r="E180" s="1" t="s">
        <v>539</v>
      </c>
      <c r="F180" s="1" t="s">
        <v>115</v>
      </c>
      <c r="G180" s="1" t="s">
        <v>9</v>
      </c>
      <c r="H180" s="23">
        <v>30.089999999999996</v>
      </c>
      <c r="I180" s="23">
        <v>752.24999999999989</v>
      </c>
      <c r="J180" s="2" t="str">
        <f t="shared" si="4"/>
        <v/>
      </c>
      <c r="K180" s="2" t="str">
        <f>IF(J180="","",I180-J180)</f>
        <v/>
      </c>
      <c r="L180" s="1" t="s">
        <v>73</v>
      </c>
      <c r="M180" s="12"/>
      <c r="N180" s="12"/>
      <c r="O180" s="12"/>
      <c r="P180" s="12"/>
      <c r="Q180" s="12"/>
      <c r="R180" s="12"/>
      <c r="S180" s="12"/>
      <c r="T180" s="12">
        <f>IF(M180="",0,INDEX(Sheet2!A$2:A$6,MATCH(M180,Sheet2!C$2:C$6,0)))</f>
        <v>0</v>
      </c>
      <c r="U180" s="12">
        <f>IF(N180="",0,INDEX(Sheet2!A$2:A$6,MATCH(N180,Sheet2!C$2:C$6,0)))</f>
        <v>0</v>
      </c>
      <c r="V180" s="12">
        <f>IF(O180="",0,INDEX(Sheet2!A$2:A$6,MATCH(O180,Sheet2!C$2:C$6,0)))</f>
        <v>0</v>
      </c>
      <c r="W180" s="12">
        <f>IF(P180="",0,INDEX(Sheet2!A$2:A$6,MATCH(P180,Sheet2!C$2:C$6,0)))</f>
        <v>0</v>
      </c>
      <c r="X180" s="12">
        <f>IF(Q180="",0,INDEX(Sheet2!A$2:A$6,MATCH(Q180,Sheet2!C$2:C$6,0)))</f>
        <v>0</v>
      </c>
      <c r="Y180" s="12">
        <f>IF(R180="",0,INDEX(Sheet2!A$2:A$6,MATCH(R180,Sheet2!C$2:C$6,0)))</f>
        <v>0</v>
      </c>
      <c r="Z180" s="12">
        <f t="shared" si="5"/>
        <v>0</v>
      </c>
      <c r="AA180" s="12" t="str">
        <f>IF(I180&gt;=7500,"E",IF(I180&gt;=6800,"D",IF(I180&gt;=4200,"C",IF(I180&gt;=3000,"B",IF(I180&gt;=750,"A","Below Slab")))))</f>
        <v>A</v>
      </c>
      <c r="AB180" s="19" t="str">
        <f>IF(I180&gt;=7500,"Samsung front-load washing machine",IF(I180&gt;=6800,"Apple iPad",IF(I180&gt;=4200,"Robot Vacuum cleaner",IF(I180&gt;=3000,"Sony - sound bar, woofer and speakers",IF(I180&gt;=750,"Foot massager","Not eligible")))))</f>
        <v>Foot massager</v>
      </c>
    </row>
    <row r="181" spans="1:28" customFormat="1">
      <c r="A181" s="1" t="s">
        <v>558</v>
      </c>
      <c r="B181" s="21" t="s">
        <v>559</v>
      </c>
      <c r="C181" s="21" t="s">
        <v>38</v>
      </c>
      <c r="D181" s="1" t="s">
        <v>26</v>
      </c>
      <c r="E181" s="1" t="s">
        <v>528</v>
      </c>
      <c r="F181" s="1" t="s">
        <v>115</v>
      </c>
      <c r="G181" s="1" t="s">
        <v>9</v>
      </c>
      <c r="H181" s="23">
        <v>373</v>
      </c>
      <c r="I181" s="23">
        <v>13987.5</v>
      </c>
      <c r="J181" s="2" t="str">
        <f t="shared" si="4"/>
        <v/>
      </c>
      <c r="K181" s="2" t="str">
        <f>IF(J181="","",I181-J181)</f>
        <v/>
      </c>
      <c r="L181" s="1" t="s">
        <v>81</v>
      </c>
      <c r="M181" s="12"/>
      <c r="N181" s="12"/>
      <c r="O181" s="12"/>
      <c r="P181" s="12"/>
      <c r="Q181" s="12"/>
      <c r="R181" s="12"/>
      <c r="S181" s="12"/>
      <c r="T181" s="12">
        <f>IF(M181="",0,INDEX(Sheet2!A$2:A$6,MATCH(M181,Sheet2!C$2:C$6,0)))</f>
        <v>0</v>
      </c>
      <c r="U181" s="12">
        <f>IF(N181="",0,INDEX(Sheet2!A$2:A$6,MATCH(N181,Sheet2!C$2:C$6,0)))</f>
        <v>0</v>
      </c>
      <c r="V181" s="12">
        <f>IF(O181="",0,INDEX(Sheet2!A$2:A$6,MATCH(O181,Sheet2!C$2:C$6,0)))</f>
        <v>0</v>
      </c>
      <c r="W181" s="12">
        <f>IF(P181="",0,INDEX(Sheet2!A$2:A$6,MATCH(P181,Sheet2!C$2:C$6,0)))</f>
        <v>0</v>
      </c>
      <c r="X181" s="12">
        <f>IF(Q181="",0,INDEX(Sheet2!A$2:A$6,MATCH(Q181,Sheet2!C$2:C$6,0)))</f>
        <v>0</v>
      </c>
      <c r="Y181" s="12">
        <f>IF(R181="",0,INDEX(Sheet2!A$2:A$6,MATCH(R181,Sheet2!C$2:C$6,0)))</f>
        <v>0</v>
      </c>
      <c r="Z181" s="12">
        <f t="shared" si="5"/>
        <v>0</v>
      </c>
      <c r="AA181" s="12" t="str">
        <f>IF(I181&gt;=7500,"E",IF(I181&gt;=6800,"D",IF(I181&gt;=4200,"C",IF(I181&gt;=3000,"B",IF(I181&gt;=750,"A","Below Slab")))))</f>
        <v>E</v>
      </c>
      <c r="AB181" s="19" t="str">
        <f>IF(I181&gt;=7500,"Samsung front-load washing machine",IF(I181&gt;=6800,"Apple iPad",IF(I181&gt;=4200,"Robot Vacuum cleaner",IF(I181&gt;=3000,"Sony - sound bar, woofer and speakers",IF(I181&gt;=750,"Foot massager","Not eligible")))))</f>
        <v>Samsung front-load washing machine</v>
      </c>
    </row>
    <row r="182" spans="1:28" customFormat="1">
      <c r="A182" s="1" t="s">
        <v>560</v>
      </c>
      <c r="B182" s="21" t="s">
        <v>561</v>
      </c>
      <c r="C182" s="21" t="s">
        <v>38</v>
      </c>
      <c r="D182" s="1" t="s">
        <v>26</v>
      </c>
      <c r="E182" s="1" t="s">
        <v>539</v>
      </c>
      <c r="F182" s="1" t="s">
        <v>115</v>
      </c>
      <c r="G182" s="1" t="s">
        <v>9</v>
      </c>
      <c r="H182" s="23">
        <v>164.63</v>
      </c>
      <c r="I182" s="23">
        <v>5350.4750000000004</v>
      </c>
      <c r="J182" s="2" t="str">
        <f t="shared" si="4"/>
        <v/>
      </c>
      <c r="K182" s="2" t="str">
        <f>IF(J182="","",I182-J182)</f>
        <v/>
      </c>
      <c r="L182" s="1" t="s">
        <v>77</v>
      </c>
      <c r="M182" s="12"/>
      <c r="N182" s="12"/>
      <c r="O182" s="12"/>
      <c r="P182" s="12"/>
      <c r="Q182" s="12"/>
      <c r="R182" s="12"/>
      <c r="S182" s="12"/>
      <c r="T182" s="12">
        <f>IF(M182="",0,INDEX(Sheet2!A$2:A$6,MATCH(M182,Sheet2!C$2:C$6,0)))</f>
        <v>0</v>
      </c>
      <c r="U182" s="12">
        <f>IF(N182="",0,INDEX(Sheet2!A$2:A$6,MATCH(N182,Sheet2!C$2:C$6,0)))</f>
        <v>0</v>
      </c>
      <c r="V182" s="12">
        <f>IF(O182="",0,INDEX(Sheet2!A$2:A$6,MATCH(O182,Sheet2!C$2:C$6,0)))</f>
        <v>0</v>
      </c>
      <c r="W182" s="12">
        <f>IF(P182="",0,INDEX(Sheet2!A$2:A$6,MATCH(P182,Sheet2!C$2:C$6,0)))</f>
        <v>0</v>
      </c>
      <c r="X182" s="12">
        <f>IF(Q182="",0,INDEX(Sheet2!A$2:A$6,MATCH(Q182,Sheet2!C$2:C$6,0)))</f>
        <v>0</v>
      </c>
      <c r="Y182" s="12">
        <f>IF(R182="",0,INDEX(Sheet2!A$2:A$6,MATCH(R182,Sheet2!C$2:C$6,0)))</f>
        <v>0</v>
      </c>
      <c r="Z182" s="12">
        <f t="shared" si="5"/>
        <v>0</v>
      </c>
      <c r="AA182" s="12" t="str">
        <f>IF(I182&gt;=7500,"E",IF(I182&gt;=6800,"D",IF(I182&gt;=4200,"C",IF(I182&gt;=3000,"B",IF(I182&gt;=750,"A","Below Slab")))))</f>
        <v>C</v>
      </c>
      <c r="AB182" s="19" t="str">
        <f>IF(I182&gt;=7500,"Samsung front-load washing machine",IF(I182&gt;=6800,"Apple iPad",IF(I182&gt;=4200,"Robot Vacuum cleaner",IF(I182&gt;=3000,"Sony - sound bar, woofer and speakers",IF(I182&gt;=750,"Foot massager","Not eligible")))))</f>
        <v>Robot Vacuum cleaner</v>
      </c>
    </row>
    <row r="183" spans="1:28" customFormat="1">
      <c r="A183" s="1" t="s">
        <v>562</v>
      </c>
      <c r="B183" s="21" t="s">
        <v>563</v>
      </c>
      <c r="C183" s="21" t="s">
        <v>38</v>
      </c>
      <c r="D183" s="1" t="s">
        <v>26</v>
      </c>
      <c r="E183" s="1" t="s">
        <v>564</v>
      </c>
      <c r="F183" s="1" t="s">
        <v>115</v>
      </c>
      <c r="G183" s="1" t="s">
        <v>9</v>
      </c>
      <c r="H183" s="23">
        <v>80.999999999999986</v>
      </c>
      <c r="I183" s="23">
        <v>2227.4999999999995</v>
      </c>
      <c r="J183" s="2" t="str">
        <f t="shared" si="4"/>
        <v/>
      </c>
      <c r="K183" s="2" t="str">
        <f>IF(J183="","",I183-J183)</f>
        <v/>
      </c>
      <c r="L183" s="1" t="s">
        <v>73</v>
      </c>
      <c r="M183" s="12"/>
      <c r="N183" s="12"/>
      <c r="O183" s="12"/>
      <c r="P183" s="12"/>
      <c r="Q183" s="12"/>
      <c r="R183" s="12"/>
      <c r="S183" s="12"/>
      <c r="T183" s="12">
        <f>IF(M183="",0,INDEX(Sheet2!A$2:A$6,MATCH(M183,Sheet2!C$2:C$6,0)))</f>
        <v>0</v>
      </c>
      <c r="U183" s="12">
        <f>IF(N183="",0,INDEX(Sheet2!A$2:A$6,MATCH(N183,Sheet2!C$2:C$6,0)))</f>
        <v>0</v>
      </c>
      <c r="V183" s="12">
        <f>IF(O183="",0,INDEX(Sheet2!A$2:A$6,MATCH(O183,Sheet2!C$2:C$6,0)))</f>
        <v>0</v>
      </c>
      <c r="W183" s="12">
        <f>IF(P183="",0,INDEX(Sheet2!A$2:A$6,MATCH(P183,Sheet2!C$2:C$6,0)))</f>
        <v>0</v>
      </c>
      <c r="X183" s="12">
        <f>IF(Q183="",0,INDEX(Sheet2!A$2:A$6,MATCH(Q183,Sheet2!C$2:C$6,0)))</f>
        <v>0</v>
      </c>
      <c r="Y183" s="12">
        <f>IF(R183="",0,INDEX(Sheet2!A$2:A$6,MATCH(R183,Sheet2!C$2:C$6,0)))</f>
        <v>0</v>
      </c>
      <c r="Z183" s="12">
        <f t="shared" si="5"/>
        <v>0</v>
      </c>
      <c r="AA183" s="12" t="str">
        <f>IF(I183&gt;=7500,"E",IF(I183&gt;=6800,"D",IF(I183&gt;=4200,"C",IF(I183&gt;=3000,"B",IF(I183&gt;=750,"A","Below Slab")))))</f>
        <v>A</v>
      </c>
      <c r="AB183" s="19" t="str">
        <f>IF(I183&gt;=7500,"Samsung front-load washing machine",IF(I183&gt;=6800,"Apple iPad",IF(I183&gt;=4200,"Robot Vacuum cleaner",IF(I183&gt;=3000,"Sony - sound bar, woofer and speakers",IF(I183&gt;=750,"Foot massager","Not eligible")))))</f>
        <v>Foot massager</v>
      </c>
    </row>
    <row r="184" spans="1:28" customFormat="1">
      <c r="A184" s="1" t="s">
        <v>565</v>
      </c>
      <c r="B184" s="21" t="s">
        <v>566</v>
      </c>
      <c r="C184" s="21" t="s">
        <v>38</v>
      </c>
      <c r="D184" s="1" t="s">
        <v>26</v>
      </c>
      <c r="E184" s="1" t="s">
        <v>528</v>
      </c>
      <c r="F184" s="1" t="s">
        <v>115</v>
      </c>
      <c r="G184" s="1" t="s">
        <v>9</v>
      </c>
      <c r="H184" s="23">
        <v>41.970000000000006</v>
      </c>
      <c r="I184" s="23">
        <v>1049.2500000000002</v>
      </c>
      <c r="J184" s="2" t="str">
        <f t="shared" si="4"/>
        <v/>
      </c>
      <c r="K184" s="2" t="str">
        <f>IF(J184="","",I184-J184)</f>
        <v/>
      </c>
      <c r="L184" s="1" t="s">
        <v>73</v>
      </c>
      <c r="M184" s="12"/>
      <c r="N184" s="12"/>
      <c r="O184" s="12"/>
      <c r="P184" s="12"/>
      <c r="Q184" s="12"/>
      <c r="R184" s="12"/>
      <c r="S184" s="12"/>
      <c r="T184" s="12">
        <f>IF(M184="",0,INDEX(Sheet2!A$2:A$6,MATCH(M184,Sheet2!C$2:C$6,0)))</f>
        <v>0</v>
      </c>
      <c r="U184" s="12">
        <f>IF(N184="",0,INDEX(Sheet2!A$2:A$6,MATCH(N184,Sheet2!C$2:C$6,0)))</f>
        <v>0</v>
      </c>
      <c r="V184" s="12">
        <f>IF(O184="",0,INDEX(Sheet2!A$2:A$6,MATCH(O184,Sheet2!C$2:C$6,0)))</f>
        <v>0</v>
      </c>
      <c r="W184" s="12">
        <f>IF(P184="",0,INDEX(Sheet2!A$2:A$6,MATCH(P184,Sheet2!C$2:C$6,0)))</f>
        <v>0</v>
      </c>
      <c r="X184" s="12">
        <f>IF(Q184="",0,INDEX(Sheet2!A$2:A$6,MATCH(Q184,Sheet2!C$2:C$6,0)))</f>
        <v>0</v>
      </c>
      <c r="Y184" s="12">
        <f>IF(R184="",0,INDEX(Sheet2!A$2:A$6,MATCH(R184,Sheet2!C$2:C$6,0)))</f>
        <v>0</v>
      </c>
      <c r="Z184" s="12">
        <f t="shared" si="5"/>
        <v>0</v>
      </c>
      <c r="AA184" s="12" t="str">
        <f>IF(I184&gt;=7500,"E",IF(I184&gt;=6800,"D",IF(I184&gt;=4200,"C",IF(I184&gt;=3000,"B",IF(I184&gt;=750,"A","Below Slab")))))</f>
        <v>A</v>
      </c>
      <c r="AB184" s="19" t="str">
        <f>IF(I184&gt;=7500,"Samsung front-load washing machine",IF(I184&gt;=6800,"Apple iPad",IF(I184&gt;=4200,"Robot Vacuum cleaner",IF(I184&gt;=3000,"Sony - sound bar, woofer and speakers",IF(I184&gt;=750,"Foot massager","Not eligible")))))</f>
        <v>Foot massager</v>
      </c>
    </row>
    <row r="185" spans="1:28" customFormat="1">
      <c r="A185" s="1" t="s">
        <v>567</v>
      </c>
      <c r="B185" s="21" t="s">
        <v>568</v>
      </c>
      <c r="C185" s="21" t="s">
        <v>38</v>
      </c>
      <c r="D185" s="1" t="s">
        <v>26</v>
      </c>
      <c r="E185" s="1" t="s">
        <v>528</v>
      </c>
      <c r="F185" s="1" t="s">
        <v>115</v>
      </c>
      <c r="G185" s="1" t="s">
        <v>9</v>
      </c>
      <c r="H185" s="23">
        <v>30.62</v>
      </c>
      <c r="I185" s="23">
        <v>765.5</v>
      </c>
      <c r="J185" s="2" t="str">
        <f t="shared" si="4"/>
        <v/>
      </c>
      <c r="K185" s="2" t="str">
        <f>IF(J185="","",I185-J185)</f>
        <v/>
      </c>
      <c r="L185" s="1" t="s">
        <v>73</v>
      </c>
      <c r="M185" s="12"/>
      <c r="N185" s="12"/>
      <c r="O185" s="12"/>
      <c r="P185" s="12"/>
      <c r="Q185" s="12"/>
      <c r="R185" s="12"/>
      <c r="S185" s="12"/>
      <c r="T185" s="12">
        <f>IF(M185="",0,INDEX(Sheet2!A$2:A$6,MATCH(M185,Sheet2!C$2:C$6,0)))</f>
        <v>0</v>
      </c>
      <c r="U185" s="12">
        <f>IF(N185="",0,INDEX(Sheet2!A$2:A$6,MATCH(N185,Sheet2!C$2:C$6,0)))</f>
        <v>0</v>
      </c>
      <c r="V185" s="12">
        <f>IF(O185="",0,INDEX(Sheet2!A$2:A$6,MATCH(O185,Sheet2!C$2:C$6,0)))</f>
        <v>0</v>
      </c>
      <c r="W185" s="12">
        <f>IF(P185="",0,INDEX(Sheet2!A$2:A$6,MATCH(P185,Sheet2!C$2:C$6,0)))</f>
        <v>0</v>
      </c>
      <c r="X185" s="12">
        <f>IF(Q185="",0,INDEX(Sheet2!A$2:A$6,MATCH(Q185,Sheet2!C$2:C$6,0)))</f>
        <v>0</v>
      </c>
      <c r="Y185" s="12">
        <f>IF(R185="",0,INDEX(Sheet2!A$2:A$6,MATCH(R185,Sheet2!C$2:C$6,0)))</f>
        <v>0</v>
      </c>
      <c r="Z185" s="12">
        <f t="shared" si="5"/>
        <v>0</v>
      </c>
      <c r="AA185" s="12" t="str">
        <f>IF(I185&gt;=7500,"E",IF(I185&gt;=6800,"D",IF(I185&gt;=4200,"C",IF(I185&gt;=3000,"B",IF(I185&gt;=750,"A","Below Slab")))))</f>
        <v>A</v>
      </c>
      <c r="AB185" s="19" t="str">
        <f>IF(I185&gt;=7500,"Samsung front-load washing machine",IF(I185&gt;=6800,"Apple iPad",IF(I185&gt;=4200,"Robot Vacuum cleaner",IF(I185&gt;=3000,"Sony - sound bar, woofer and speakers",IF(I185&gt;=750,"Foot massager","Not eligible")))))</f>
        <v>Foot massager</v>
      </c>
    </row>
    <row r="186" spans="1:28" customFormat="1">
      <c r="A186" s="1" t="s">
        <v>569</v>
      </c>
      <c r="B186" s="21" t="s">
        <v>570</v>
      </c>
      <c r="C186" s="21" t="s">
        <v>38</v>
      </c>
      <c r="D186" s="1" t="s">
        <v>26</v>
      </c>
      <c r="E186" s="1" t="s">
        <v>571</v>
      </c>
      <c r="F186" s="1" t="s">
        <v>115</v>
      </c>
      <c r="G186" s="1" t="s">
        <v>9</v>
      </c>
      <c r="H186" s="23">
        <v>38.770000000000003</v>
      </c>
      <c r="I186" s="23">
        <v>969.25000000000011</v>
      </c>
      <c r="J186" s="2" t="str">
        <f t="shared" si="4"/>
        <v/>
      </c>
      <c r="K186" s="2" t="str">
        <f>IF(J186="","",I186-J186)</f>
        <v/>
      </c>
      <c r="L186" s="1" t="s">
        <v>73</v>
      </c>
      <c r="M186" s="12"/>
      <c r="N186" s="12"/>
      <c r="O186" s="12"/>
      <c r="P186" s="12"/>
      <c r="Q186" s="12"/>
      <c r="R186" s="12"/>
      <c r="S186" s="12"/>
      <c r="T186" s="12">
        <f>IF(M186="",0,INDEX(Sheet2!A$2:A$6,MATCH(M186,Sheet2!C$2:C$6,0)))</f>
        <v>0</v>
      </c>
      <c r="U186" s="12">
        <f>IF(N186="",0,INDEX(Sheet2!A$2:A$6,MATCH(N186,Sheet2!C$2:C$6,0)))</f>
        <v>0</v>
      </c>
      <c r="V186" s="12">
        <f>IF(O186="",0,INDEX(Sheet2!A$2:A$6,MATCH(O186,Sheet2!C$2:C$6,0)))</f>
        <v>0</v>
      </c>
      <c r="W186" s="12">
        <f>IF(P186="",0,INDEX(Sheet2!A$2:A$6,MATCH(P186,Sheet2!C$2:C$6,0)))</f>
        <v>0</v>
      </c>
      <c r="X186" s="12">
        <f>IF(Q186="",0,INDEX(Sheet2!A$2:A$6,MATCH(Q186,Sheet2!C$2:C$6,0)))</f>
        <v>0</v>
      </c>
      <c r="Y186" s="12">
        <f>IF(R186="",0,INDEX(Sheet2!A$2:A$6,MATCH(R186,Sheet2!C$2:C$6,0)))</f>
        <v>0</v>
      </c>
      <c r="Z186" s="12">
        <f t="shared" si="5"/>
        <v>0</v>
      </c>
      <c r="AA186" s="12" t="str">
        <f>IF(I186&gt;=7500,"E",IF(I186&gt;=6800,"D",IF(I186&gt;=4200,"C",IF(I186&gt;=3000,"B",IF(I186&gt;=750,"A","Below Slab")))))</f>
        <v>A</v>
      </c>
      <c r="AB186" s="19" t="str">
        <f>IF(I186&gt;=7500,"Samsung front-load washing machine",IF(I186&gt;=6800,"Apple iPad",IF(I186&gt;=4200,"Robot Vacuum cleaner",IF(I186&gt;=3000,"Sony - sound bar, woofer and speakers",IF(I186&gt;=750,"Foot massager","Not eligible")))))</f>
        <v>Foot massager</v>
      </c>
    </row>
    <row r="187" spans="1:28" customFormat="1">
      <c r="A187" s="1" t="s">
        <v>572</v>
      </c>
      <c r="B187" s="21" t="s">
        <v>573</v>
      </c>
      <c r="C187" s="21" t="s">
        <v>38</v>
      </c>
      <c r="D187" s="1" t="s">
        <v>26</v>
      </c>
      <c r="E187" s="1" t="s">
        <v>528</v>
      </c>
      <c r="F187" s="1" t="s">
        <v>115</v>
      </c>
      <c r="G187" s="1" t="s">
        <v>9</v>
      </c>
      <c r="H187" s="23">
        <v>402</v>
      </c>
      <c r="I187" s="23">
        <v>15075</v>
      </c>
      <c r="J187" s="2" t="str">
        <f t="shared" si="4"/>
        <v/>
      </c>
      <c r="K187" s="2" t="str">
        <f>IF(J187="","",I187-J187)</f>
        <v/>
      </c>
      <c r="L187" s="1" t="s">
        <v>81</v>
      </c>
      <c r="M187" s="12"/>
      <c r="N187" s="12"/>
      <c r="O187" s="12"/>
      <c r="P187" s="12"/>
      <c r="Q187" s="12"/>
      <c r="R187" s="12"/>
      <c r="S187" s="12"/>
      <c r="T187" s="12">
        <f>IF(M187="",0,INDEX(Sheet2!A$2:A$6,MATCH(M187,Sheet2!C$2:C$6,0)))</f>
        <v>0</v>
      </c>
      <c r="U187" s="12">
        <f>IF(N187="",0,INDEX(Sheet2!A$2:A$6,MATCH(N187,Sheet2!C$2:C$6,0)))</f>
        <v>0</v>
      </c>
      <c r="V187" s="12">
        <f>IF(O187="",0,INDEX(Sheet2!A$2:A$6,MATCH(O187,Sheet2!C$2:C$6,0)))</f>
        <v>0</v>
      </c>
      <c r="W187" s="12">
        <f>IF(P187="",0,INDEX(Sheet2!A$2:A$6,MATCH(P187,Sheet2!C$2:C$6,0)))</f>
        <v>0</v>
      </c>
      <c r="X187" s="12">
        <f>IF(Q187="",0,INDEX(Sheet2!A$2:A$6,MATCH(Q187,Sheet2!C$2:C$6,0)))</f>
        <v>0</v>
      </c>
      <c r="Y187" s="12">
        <f>IF(R187="",0,INDEX(Sheet2!A$2:A$6,MATCH(R187,Sheet2!C$2:C$6,0)))</f>
        <v>0</v>
      </c>
      <c r="Z187" s="12">
        <f t="shared" si="5"/>
        <v>0</v>
      </c>
      <c r="AA187" s="12" t="str">
        <f>IF(I187&gt;=7500,"E",IF(I187&gt;=6800,"D",IF(I187&gt;=4200,"C",IF(I187&gt;=3000,"B",IF(I187&gt;=750,"A","Below Slab")))))</f>
        <v>E</v>
      </c>
      <c r="AB187" s="19" t="str">
        <f>IF(I187&gt;=7500,"Samsung front-load washing machine",IF(I187&gt;=6800,"Apple iPad",IF(I187&gt;=4200,"Robot Vacuum cleaner",IF(I187&gt;=3000,"Sony - sound bar, woofer and speakers",IF(I187&gt;=750,"Foot massager","Not eligible")))))</f>
        <v>Samsung front-load washing machine</v>
      </c>
    </row>
    <row r="188" spans="1:28" customFormat="1">
      <c r="A188" s="1" t="s">
        <v>574</v>
      </c>
      <c r="B188" s="21" t="s">
        <v>575</v>
      </c>
      <c r="C188" s="21" t="s">
        <v>43</v>
      </c>
      <c r="D188" s="1" t="s">
        <v>26</v>
      </c>
      <c r="E188" s="1" t="s">
        <v>576</v>
      </c>
      <c r="F188" s="1" t="s">
        <v>115</v>
      </c>
      <c r="G188" s="1" t="s">
        <v>9</v>
      </c>
      <c r="H188" s="23">
        <v>220.25</v>
      </c>
      <c r="I188" s="23">
        <v>8259.375</v>
      </c>
      <c r="J188" s="2" t="str">
        <f t="shared" si="4"/>
        <v/>
      </c>
      <c r="K188" s="2" t="str">
        <f>IF(J188="","",I188-J188)</f>
        <v/>
      </c>
      <c r="L188" s="1" t="s">
        <v>81</v>
      </c>
      <c r="M188" s="12"/>
      <c r="N188" s="12"/>
      <c r="O188" s="12"/>
      <c r="P188" s="12"/>
      <c r="Q188" s="12"/>
      <c r="R188" s="12"/>
      <c r="S188" s="12"/>
      <c r="T188" s="12">
        <f>IF(M188="",0,INDEX(Sheet2!A$2:A$6,MATCH(M188,Sheet2!C$2:C$6,0)))</f>
        <v>0</v>
      </c>
      <c r="U188" s="12">
        <f>IF(N188="",0,INDEX(Sheet2!A$2:A$6,MATCH(N188,Sheet2!C$2:C$6,0)))</f>
        <v>0</v>
      </c>
      <c r="V188" s="12">
        <f>IF(O188="",0,INDEX(Sheet2!A$2:A$6,MATCH(O188,Sheet2!C$2:C$6,0)))</f>
        <v>0</v>
      </c>
      <c r="W188" s="12">
        <f>IF(P188="",0,INDEX(Sheet2!A$2:A$6,MATCH(P188,Sheet2!C$2:C$6,0)))</f>
        <v>0</v>
      </c>
      <c r="X188" s="12">
        <f>IF(Q188="",0,INDEX(Sheet2!A$2:A$6,MATCH(Q188,Sheet2!C$2:C$6,0)))</f>
        <v>0</v>
      </c>
      <c r="Y188" s="12">
        <f>IF(R188="",0,INDEX(Sheet2!A$2:A$6,MATCH(R188,Sheet2!C$2:C$6,0)))</f>
        <v>0</v>
      </c>
      <c r="Z188" s="12">
        <f t="shared" si="5"/>
        <v>0</v>
      </c>
      <c r="AA188" s="12" t="str">
        <f>IF(I188&gt;=7500,"E",IF(I188&gt;=6800,"D",IF(I188&gt;=4200,"C",IF(I188&gt;=3000,"B",IF(I188&gt;=750,"A","Below Slab")))))</f>
        <v>E</v>
      </c>
      <c r="AB188" s="19" t="str">
        <f>IF(I188&gt;=7500,"Samsung front-load washing machine",IF(I188&gt;=6800,"Apple iPad",IF(I188&gt;=4200,"Robot Vacuum cleaner",IF(I188&gt;=3000,"Sony - sound bar, woofer and speakers",IF(I188&gt;=750,"Foot massager","Not eligible")))))</f>
        <v>Samsung front-load washing machine</v>
      </c>
    </row>
    <row r="189" spans="1:28" customFormat="1">
      <c r="A189" s="1" t="s">
        <v>577</v>
      </c>
      <c r="B189" s="21" t="s">
        <v>578</v>
      </c>
      <c r="C189" s="21" t="s">
        <v>43</v>
      </c>
      <c r="D189" s="1" t="s">
        <v>26</v>
      </c>
      <c r="E189" s="1" t="s">
        <v>579</v>
      </c>
      <c r="F189" s="1" t="s">
        <v>115</v>
      </c>
      <c r="G189" s="1" t="s">
        <v>9</v>
      </c>
      <c r="H189" s="23">
        <v>124.8</v>
      </c>
      <c r="I189" s="23">
        <v>3744</v>
      </c>
      <c r="J189" s="2" t="str">
        <f t="shared" si="4"/>
        <v/>
      </c>
      <c r="K189" s="2" t="str">
        <f>IF(J189="","",I189-J189)</f>
        <v/>
      </c>
      <c r="L189" s="1" t="s">
        <v>134</v>
      </c>
      <c r="M189" s="12"/>
      <c r="N189" s="12"/>
      <c r="O189" s="12"/>
      <c r="P189" s="12"/>
      <c r="Q189" s="12"/>
      <c r="R189" s="12"/>
      <c r="S189" s="12"/>
      <c r="T189" s="12">
        <f>IF(M189="",0,INDEX(Sheet2!A$2:A$6,MATCH(M189,Sheet2!C$2:C$6,0)))</f>
        <v>0</v>
      </c>
      <c r="U189" s="12">
        <f>IF(N189="",0,INDEX(Sheet2!A$2:A$6,MATCH(N189,Sheet2!C$2:C$6,0)))</f>
        <v>0</v>
      </c>
      <c r="V189" s="12">
        <f>IF(O189="",0,INDEX(Sheet2!A$2:A$6,MATCH(O189,Sheet2!C$2:C$6,0)))</f>
        <v>0</v>
      </c>
      <c r="W189" s="12">
        <f>IF(P189="",0,INDEX(Sheet2!A$2:A$6,MATCH(P189,Sheet2!C$2:C$6,0)))</f>
        <v>0</v>
      </c>
      <c r="X189" s="12">
        <f>IF(Q189="",0,INDEX(Sheet2!A$2:A$6,MATCH(Q189,Sheet2!C$2:C$6,0)))</f>
        <v>0</v>
      </c>
      <c r="Y189" s="12">
        <f>IF(R189="",0,INDEX(Sheet2!A$2:A$6,MATCH(R189,Sheet2!C$2:C$6,0)))</f>
        <v>0</v>
      </c>
      <c r="Z189" s="12">
        <f t="shared" si="5"/>
        <v>0</v>
      </c>
      <c r="AA189" s="12" t="str">
        <f>IF(I189&gt;=7500,"E",IF(I189&gt;=6800,"D",IF(I189&gt;=4200,"C",IF(I189&gt;=3000,"B",IF(I189&gt;=750,"A","Below Slab")))))</f>
        <v>B</v>
      </c>
      <c r="AB189" s="19" t="str">
        <f>IF(I189&gt;=7500,"Samsung front-load washing machine",IF(I189&gt;=6800,"Apple iPad",IF(I189&gt;=4200,"Robot Vacuum cleaner",IF(I189&gt;=3000,"Sony - sound bar, woofer and speakers",IF(I189&gt;=750,"Foot massager","Not eligible")))))</f>
        <v>Sony - sound bar, woofer and speakers</v>
      </c>
    </row>
    <row r="190" spans="1:28" customFormat="1">
      <c r="A190" s="1" t="s">
        <v>580</v>
      </c>
      <c r="B190" s="21" t="s">
        <v>581</v>
      </c>
      <c r="C190" s="21" t="s">
        <v>43</v>
      </c>
      <c r="D190" s="1" t="s">
        <v>26</v>
      </c>
      <c r="E190" s="1" t="s">
        <v>576</v>
      </c>
      <c r="F190" s="1" t="s">
        <v>115</v>
      </c>
      <c r="G190" s="1" t="s">
        <v>9</v>
      </c>
      <c r="H190" s="23">
        <v>134.31</v>
      </c>
      <c r="I190" s="23">
        <v>4029.2999999999997</v>
      </c>
      <c r="J190" s="2" t="str">
        <f t="shared" si="4"/>
        <v/>
      </c>
      <c r="K190" s="2" t="str">
        <f>IF(J190="","",I190-J190)</f>
        <v/>
      </c>
      <c r="L190" s="1" t="s">
        <v>134</v>
      </c>
      <c r="M190" s="12"/>
      <c r="N190" s="12"/>
      <c r="O190" s="12"/>
      <c r="P190" s="12"/>
      <c r="Q190" s="12"/>
      <c r="R190" s="12"/>
      <c r="S190" s="12"/>
      <c r="T190" s="12">
        <f>IF(M190="",0,INDEX(Sheet2!A$2:A$6,MATCH(M190,Sheet2!C$2:C$6,0)))</f>
        <v>0</v>
      </c>
      <c r="U190" s="12">
        <f>IF(N190="",0,INDEX(Sheet2!A$2:A$6,MATCH(N190,Sheet2!C$2:C$6,0)))</f>
        <v>0</v>
      </c>
      <c r="V190" s="12">
        <f>IF(O190="",0,INDEX(Sheet2!A$2:A$6,MATCH(O190,Sheet2!C$2:C$6,0)))</f>
        <v>0</v>
      </c>
      <c r="W190" s="12">
        <f>IF(P190="",0,INDEX(Sheet2!A$2:A$6,MATCH(P190,Sheet2!C$2:C$6,0)))</f>
        <v>0</v>
      </c>
      <c r="X190" s="12">
        <f>IF(Q190="",0,INDEX(Sheet2!A$2:A$6,MATCH(Q190,Sheet2!C$2:C$6,0)))</f>
        <v>0</v>
      </c>
      <c r="Y190" s="12">
        <f>IF(R190="",0,INDEX(Sheet2!A$2:A$6,MATCH(R190,Sheet2!C$2:C$6,0)))</f>
        <v>0</v>
      </c>
      <c r="Z190" s="12">
        <f t="shared" si="5"/>
        <v>0</v>
      </c>
      <c r="AA190" s="12" t="str">
        <f>IF(I190&gt;=7500,"E",IF(I190&gt;=6800,"D",IF(I190&gt;=4200,"C",IF(I190&gt;=3000,"B",IF(I190&gt;=750,"A","Below Slab")))))</f>
        <v>B</v>
      </c>
      <c r="AB190" s="19" t="str">
        <f>IF(I190&gt;=7500,"Samsung front-load washing machine",IF(I190&gt;=6800,"Apple iPad",IF(I190&gt;=4200,"Robot Vacuum cleaner",IF(I190&gt;=3000,"Sony - sound bar, woofer and speakers",IF(I190&gt;=750,"Foot massager","Not eligible")))))</f>
        <v>Sony - sound bar, woofer and speakers</v>
      </c>
    </row>
    <row r="191" spans="1:28" customFormat="1">
      <c r="A191" s="1" t="s">
        <v>582</v>
      </c>
      <c r="B191" s="21" t="s">
        <v>583</v>
      </c>
      <c r="C191" s="21" t="s">
        <v>43</v>
      </c>
      <c r="D191" s="1" t="s">
        <v>26</v>
      </c>
      <c r="E191" s="1" t="s">
        <v>576</v>
      </c>
      <c r="F191" s="1" t="s">
        <v>115</v>
      </c>
      <c r="G191" s="1" t="s">
        <v>9</v>
      </c>
      <c r="H191" s="23">
        <v>76.14</v>
      </c>
      <c r="I191" s="23">
        <v>2093.8500000000004</v>
      </c>
      <c r="J191" s="2" t="str">
        <f t="shared" si="4"/>
        <v/>
      </c>
      <c r="K191" s="2" t="str">
        <f>IF(J191="","",I191-J191)</f>
        <v/>
      </c>
      <c r="L191" s="1" t="s">
        <v>73</v>
      </c>
      <c r="M191" s="12"/>
      <c r="N191" s="12"/>
      <c r="O191" s="12"/>
      <c r="P191" s="12"/>
      <c r="Q191" s="12"/>
      <c r="R191" s="12"/>
      <c r="S191" s="12"/>
      <c r="T191" s="12">
        <f>IF(M191="",0,INDEX(Sheet2!A$2:A$6,MATCH(M191,Sheet2!C$2:C$6,0)))</f>
        <v>0</v>
      </c>
      <c r="U191" s="12">
        <f>IF(N191="",0,INDEX(Sheet2!A$2:A$6,MATCH(N191,Sheet2!C$2:C$6,0)))</f>
        <v>0</v>
      </c>
      <c r="V191" s="12">
        <f>IF(O191="",0,INDEX(Sheet2!A$2:A$6,MATCH(O191,Sheet2!C$2:C$6,0)))</f>
        <v>0</v>
      </c>
      <c r="W191" s="12">
        <f>IF(P191="",0,INDEX(Sheet2!A$2:A$6,MATCH(P191,Sheet2!C$2:C$6,0)))</f>
        <v>0</v>
      </c>
      <c r="X191" s="12">
        <f>IF(Q191="",0,INDEX(Sheet2!A$2:A$6,MATCH(Q191,Sheet2!C$2:C$6,0)))</f>
        <v>0</v>
      </c>
      <c r="Y191" s="12">
        <f>IF(R191="",0,INDEX(Sheet2!A$2:A$6,MATCH(R191,Sheet2!C$2:C$6,0)))</f>
        <v>0</v>
      </c>
      <c r="Z191" s="12">
        <f t="shared" si="5"/>
        <v>0</v>
      </c>
      <c r="AA191" s="12" t="str">
        <f>IF(I191&gt;=7500,"E",IF(I191&gt;=6800,"D",IF(I191&gt;=4200,"C",IF(I191&gt;=3000,"B",IF(I191&gt;=750,"A","Below Slab")))))</f>
        <v>A</v>
      </c>
      <c r="AB191" s="19" t="str">
        <f>IF(I191&gt;=7500,"Samsung front-load washing machine",IF(I191&gt;=6800,"Apple iPad",IF(I191&gt;=4200,"Robot Vacuum cleaner",IF(I191&gt;=3000,"Sony - sound bar, woofer and speakers",IF(I191&gt;=750,"Foot massager","Not eligible")))))</f>
        <v>Foot massager</v>
      </c>
    </row>
    <row r="192" spans="1:28" customFormat="1">
      <c r="A192" s="1" t="s">
        <v>584</v>
      </c>
      <c r="B192" s="21" t="s">
        <v>585</v>
      </c>
      <c r="C192" s="21" t="s">
        <v>43</v>
      </c>
      <c r="D192" s="1" t="s">
        <v>26</v>
      </c>
      <c r="E192" s="1" t="s">
        <v>576</v>
      </c>
      <c r="F192" s="1" t="s">
        <v>115</v>
      </c>
      <c r="G192" s="1" t="s">
        <v>9</v>
      </c>
      <c r="H192" s="23">
        <v>48.1</v>
      </c>
      <c r="I192" s="23">
        <v>1202.5</v>
      </c>
      <c r="J192" s="2" t="str">
        <f t="shared" si="4"/>
        <v/>
      </c>
      <c r="K192" s="2" t="str">
        <f>IF(J192="","",I192-J192)</f>
        <v/>
      </c>
      <c r="L192" s="1" t="s">
        <v>73</v>
      </c>
      <c r="M192" s="12"/>
      <c r="N192" s="12"/>
      <c r="O192" s="12"/>
      <c r="P192" s="12"/>
      <c r="Q192" s="12"/>
      <c r="R192" s="12"/>
      <c r="S192" s="12"/>
      <c r="T192" s="12">
        <f>IF(M192="",0,INDEX(Sheet2!A$2:A$6,MATCH(M192,Sheet2!C$2:C$6,0)))</f>
        <v>0</v>
      </c>
      <c r="U192" s="12">
        <f>IF(N192="",0,INDEX(Sheet2!A$2:A$6,MATCH(N192,Sheet2!C$2:C$6,0)))</f>
        <v>0</v>
      </c>
      <c r="V192" s="12">
        <f>IF(O192="",0,INDEX(Sheet2!A$2:A$6,MATCH(O192,Sheet2!C$2:C$6,0)))</f>
        <v>0</v>
      </c>
      <c r="W192" s="12">
        <f>IF(P192="",0,INDEX(Sheet2!A$2:A$6,MATCH(P192,Sheet2!C$2:C$6,0)))</f>
        <v>0</v>
      </c>
      <c r="X192" s="12">
        <f>IF(Q192="",0,INDEX(Sheet2!A$2:A$6,MATCH(Q192,Sheet2!C$2:C$6,0)))</f>
        <v>0</v>
      </c>
      <c r="Y192" s="12">
        <f>IF(R192="",0,INDEX(Sheet2!A$2:A$6,MATCH(R192,Sheet2!C$2:C$6,0)))</f>
        <v>0</v>
      </c>
      <c r="Z192" s="12">
        <f t="shared" si="5"/>
        <v>0</v>
      </c>
      <c r="AA192" s="12" t="str">
        <f>IF(I192&gt;=7500,"E",IF(I192&gt;=6800,"D",IF(I192&gt;=4200,"C",IF(I192&gt;=3000,"B",IF(I192&gt;=750,"A","Below Slab")))))</f>
        <v>A</v>
      </c>
      <c r="AB192" s="19" t="str">
        <f>IF(I192&gt;=7500,"Samsung front-load washing machine",IF(I192&gt;=6800,"Apple iPad",IF(I192&gt;=4200,"Robot Vacuum cleaner",IF(I192&gt;=3000,"Sony - sound bar, woofer and speakers",IF(I192&gt;=750,"Foot massager","Not eligible")))))</f>
        <v>Foot massager</v>
      </c>
    </row>
    <row r="193" spans="1:28" customFormat="1">
      <c r="A193" s="1" t="s">
        <v>586</v>
      </c>
      <c r="B193" s="21" t="s">
        <v>587</v>
      </c>
      <c r="C193" s="21" t="s">
        <v>43</v>
      </c>
      <c r="D193" s="1" t="s">
        <v>26</v>
      </c>
      <c r="E193" s="1" t="s">
        <v>588</v>
      </c>
      <c r="F193" s="1" t="s">
        <v>115</v>
      </c>
      <c r="G193" s="1" t="s">
        <v>9</v>
      </c>
      <c r="H193" s="23">
        <v>110.91</v>
      </c>
      <c r="I193" s="23">
        <v>3327.2999999999997</v>
      </c>
      <c r="J193" s="2" t="str">
        <f t="shared" si="4"/>
        <v/>
      </c>
      <c r="K193" s="2" t="str">
        <f>IF(J193="","",I193-J193)</f>
        <v/>
      </c>
      <c r="L193" s="1" t="s">
        <v>134</v>
      </c>
      <c r="M193" s="12"/>
      <c r="N193" s="12"/>
      <c r="O193" s="12"/>
      <c r="P193" s="12"/>
      <c r="Q193" s="12"/>
      <c r="R193" s="12"/>
      <c r="S193" s="12"/>
      <c r="T193" s="12">
        <f>IF(M193="",0,INDEX(Sheet2!A$2:A$6,MATCH(M193,Sheet2!C$2:C$6,0)))</f>
        <v>0</v>
      </c>
      <c r="U193" s="12">
        <f>IF(N193="",0,INDEX(Sheet2!A$2:A$6,MATCH(N193,Sheet2!C$2:C$6,0)))</f>
        <v>0</v>
      </c>
      <c r="V193" s="12">
        <f>IF(O193="",0,INDEX(Sheet2!A$2:A$6,MATCH(O193,Sheet2!C$2:C$6,0)))</f>
        <v>0</v>
      </c>
      <c r="W193" s="12">
        <f>IF(P193="",0,INDEX(Sheet2!A$2:A$6,MATCH(P193,Sheet2!C$2:C$6,0)))</f>
        <v>0</v>
      </c>
      <c r="X193" s="12">
        <f>IF(Q193="",0,INDEX(Sheet2!A$2:A$6,MATCH(Q193,Sheet2!C$2:C$6,0)))</f>
        <v>0</v>
      </c>
      <c r="Y193" s="12">
        <f>IF(R193="",0,INDEX(Sheet2!A$2:A$6,MATCH(R193,Sheet2!C$2:C$6,0)))</f>
        <v>0</v>
      </c>
      <c r="Z193" s="12">
        <f t="shared" si="5"/>
        <v>0</v>
      </c>
      <c r="AA193" s="12" t="str">
        <f>IF(I193&gt;=7500,"E",IF(I193&gt;=6800,"D",IF(I193&gt;=4200,"C",IF(I193&gt;=3000,"B",IF(I193&gt;=750,"A","Below Slab")))))</f>
        <v>B</v>
      </c>
      <c r="AB193" s="19" t="str">
        <f>IF(I193&gt;=7500,"Samsung front-load washing machine",IF(I193&gt;=6800,"Apple iPad",IF(I193&gt;=4200,"Robot Vacuum cleaner",IF(I193&gt;=3000,"Sony - sound bar, woofer and speakers",IF(I193&gt;=750,"Foot massager","Not eligible")))))</f>
        <v>Sony - sound bar, woofer and speakers</v>
      </c>
    </row>
    <row r="194" spans="1:28" customFormat="1">
      <c r="A194" s="1" t="s">
        <v>589</v>
      </c>
      <c r="B194" s="21" t="s">
        <v>590</v>
      </c>
      <c r="C194" s="21" t="s">
        <v>43</v>
      </c>
      <c r="D194" s="1" t="s">
        <v>26</v>
      </c>
      <c r="E194" s="1" t="s">
        <v>576</v>
      </c>
      <c r="F194" s="1" t="s">
        <v>115</v>
      </c>
      <c r="G194" s="1" t="s">
        <v>9</v>
      </c>
      <c r="H194" s="23">
        <v>61.62</v>
      </c>
      <c r="I194" s="23">
        <v>1694.5500000000002</v>
      </c>
      <c r="J194" s="2" t="str">
        <f t="shared" si="4"/>
        <v/>
      </c>
      <c r="K194" s="2" t="str">
        <f>IF(J194="","",I194-J194)</f>
        <v/>
      </c>
      <c r="L194" s="1" t="s">
        <v>73</v>
      </c>
      <c r="M194" s="12"/>
      <c r="N194" s="12"/>
      <c r="O194" s="12"/>
      <c r="P194" s="12"/>
      <c r="Q194" s="12"/>
      <c r="R194" s="12"/>
      <c r="S194" s="12"/>
      <c r="T194" s="12">
        <f>IF(M194="",0,INDEX(Sheet2!A$2:A$6,MATCH(M194,Sheet2!C$2:C$6,0)))</f>
        <v>0</v>
      </c>
      <c r="U194" s="12">
        <f>IF(N194="",0,INDEX(Sheet2!A$2:A$6,MATCH(N194,Sheet2!C$2:C$6,0)))</f>
        <v>0</v>
      </c>
      <c r="V194" s="12">
        <f>IF(O194="",0,INDEX(Sheet2!A$2:A$6,MATCH(O194,Sheet2!C$2:C$6,0)))</f>
        <v>0</v>
      </c>
      <c r="W194" s="12">
        <f>IF(P194="",0,INDEX(Sheet2!A$2:A$6,MATCH(P194,Sheet2!C$2:C$6,0)))</f>
        <v>0</v>
      </c>
      <c r="X194" s="12">
        <f>IF(Q194="",0,INDEX(Sheet2!A$2:A$6,MATCH(Q194,Sheet2!C$2:C$6,0)))</f>
        <v>0</v>
      </c>
      <c r="Y194" s="12">
        <f>IF(R194="",0,INDEX(Sheet2!A$2:A$6,MATCH(R194,Sheet2!C$2:C$6,0)))</f>
        <v>0</v>
      </c>
      <c r="Z194" s="12">
        <f t="shared" si="5"/>
        <v>0</v>
      </c>
      <c r="AA194" s="12" t="str">
        <f>IF(I194&gt;=7500,"E",IF(I194&gt;=6800,"D",IF(I194&gt;=4200,"C",IF(I194&gt;=3000,"B",IF(I194&gt;=750,"A","Below Slab")))))</f>
        <v>A</v>
      </c>
      <c r="AB194" s="19" t="str">
        <f>IF(I194&gt;=7500,"Samsung front-load washing machine",IF(I194&gt;=6800,"Apple iPad",IF(I194&gt;=4200,"Robot Vacuum cleaner",IF(I194&gt;=3000,"Sony - sound bar, woofer and speakers",IF(I194&gt;=750,"Foot massager","Not eligible")))))</f>
        <v>Foot massager</v>
      </c>
    </row>
    <row r="195" spans="1:28" customFormat="1">
      <c r="A195" s="1" t="s">
        <v>591</v>
      </c>
      <c r="B195" s="21" t="s">
        <v>592</v>
      </c>
      <c r="C195" s="21" t="s">
        <v>43</v>
      </c>
      <c r="D195" s="1" t="s">
        <v>26</v>
      </c>
      <c r="E195" s="1" t="s">
        <v>576</v>
      </c>
      <c r="F195" s="1" t="s">
        <v>115</v>
      </c>
      <c r="G195" s="1" t="s">
        <v>9</v>
      </c>
      <c r="H195" s="23">
        <v>30.08</v>
      </c>
      <c r="I195" s="23">
        <v>752</v>
      </c>
      <c r="J195" s="2" t="str">
        <f t="shared" ref="J195:J258" si="6">IF(SUM(T195:Z195)=0,"",SUM(T195:Z195))</f>
        <v/>
      </c>
      <c r="K195" s="2" t="str">
        <f>IF(J195="","",I195-J195)</f>
        <v/>
      </c>
      <c r="L195" s="1" t="s">
        <v>73</v>
      </c>
      <c r="M195" s="12"/>
      <c r="N195" s="12"/>
      <c r="O195" s="12"/>
      <c r="P195" s="12"/>
      <c r="Q195" s="12"/>
      <c r="R195" s="12"/>
      <c r="S195" s="12"/>
      <c r="T195" s="12">
        <f>IF(M195="",0,INDEX(Sheet2!A$2:A$6,MATCH(M195,Sheet2!C$2:C$6,0)))</f>
        <v>0</v>
      </c>
      <c r="U195" s="12">
        <f>IF(N195="",0,INDEX(Sheet2!A$2:A$6,MATCH(N195,Sheet2!C$2:C$6,0)))</f>
        <v>0</v>
      </c>
      <c r="V195" s="12">
        <f>IF(O195="",0,INDEX(Sheet2!A$2:A$6,MATCH(O195,Sheet2!C$2:C$6,0)))</f>
        <v>0</v>
      </c>
      <c r="W195" s="12">
        <f>IF(P195="",0,INDEX(Sheet2!A$2:A$6,MATCH(P195,Sheet2!C$2:C$6,0)))</f>
        <v>0</v>
      </c>
      <c r="X195" s="12">
        <f>IF(Q195="",0,INDEX(Sheet2!A$2:A$6,MATCH(Q195,Sheet2!C$2:C$6,0)))</f>
        <v>0</v>
      </c>
      <c r="Y195" s="12">
        <f>IF(R195="",0,INDEX(Sheet2!A$2:A$6,MATCH(R195,Sheet2!C$2:C$6,0)))</f>
        <v>0</v>
      </c>
      <c r="Z195" s="12">
        <f t="shared" ref="Z195:Z258" si="7">IF(S195="Yes",I195-SUM(T195:Y195),0)</f>
        <v>0</v>
      </c>
      <c r="AA195" s="12" t="str">
        <f>IF(I195&gt;=7500,"E",IF(I195&gt;=6800,"D",IF(I195&gt;=4200,"C",IF(I195&gt;=3000,"B",IF(I195&gt;=750,"A","Below Slab")))))</f>
        <v>A</v>
      </c>
      <c r="AB195" s="19" t="str">
        <f>IF(I195&gt;=7500,"Samsung front-load washing machine",IF(I195&gt;=6800,"Apple iPad",IF(I195&gt;=4200,"Robot Vacuum cleaner",IF(I195&gt;=3000,"Sony - sound bar, woofer and speakers",IF(I195&gt;=750,"Foot massager","Not eligible")))))</f>
        <v>Foot massager</v>
      </c>
    </row>
    <row r="196" spans="1:28" customFormat="1">
      <c r="A196" s="1" t="s">
        <v>593</v>
      </c>
      <c r="B196" s="21" t="s">
        <v>594</v>
      </c>
      <c r="C196" s="21" t="s">
        <v>43</v>
      </c>
      <c r="D196" s="1" t="s">
        <v>26</v>
      </c>
      <c r="E196" s="1" t="s">
        <v>576</v>
      </c>
      <c r="F196" s="1" t="s">
        <v>115</v>
      </c>
      <c r="G196" s="1" t="s">
        <v>9</v>
      </c>
      <c r="H196" s="23">
        <v>459.72999999999996</v>
      </c>
      <c r="I196" s="23">
        <v>17239.874999999996</v>
      </c>
      <c r="J196" s="2" t="str">
        <f t="shared" si="6"/>
        <v/>
      </c>
      <c r="K196" s="2" t="str">
        <f>IF(J196="","",I196-J196)</f>
        <v/>
      </c>
      <c r="L196" s="1" t="s">
        <v>81</v>
      </c>
      <c r="M196" s="12"/>
      <c r="N196" s="12"/>
      <c r="O196" s="12"/>
      <c r="P196" s="12"/>
      <c r="Q196" s="12"/>
      <c r="R196" s="12"/>
      <c r="S196" s="12"/>
      <c r="T196" s="12">
        <f>IF(M196="",0,INDEX(Sheet2!A$2:A$6,MATCH(M196,Sheet2!C$2:C$6,0)))</f>
        <v>0</v>
      </c>
      <c r="U196" s="12">
        <f>IF(N196="",0,INDEX(Sheet2!A$2:A$6,MATCH(N196,Sheet2!C$2:C$6,0)))</f>
        <v>0</v>
      </c>
      <c r="V196" s="12">
        <f>IF(O196="",0,INDEX(Sheet2!A$2:A$6,MATCH(O196,Sheet2!C$2:C$6,0)))</f>
        <v>0</v>
      </c>
      <c r="W196" s="12">
        <f>IF(P196="",0,INDEX(Sheet2!A$2:A$6,MATCH(P196,Sheet2!C$2:C$6,0)))</f>
        <v>0</v>
      </c>
      <c r="X196" s="12">
        <f>IF(Q196="",0,INDEX(Sheet2!A$2:A$6,MATCH(Q196,Sheet2!C$2:C$6,0)))</f>
        <v>0</v>
      </c>
      <c r="Y196" s="12">
        <f>IF(R196="",0,INDEX(Sheet2!A$2:A$6,MATCH(R196,Sheet2!C$2:C$6,0)))</f>
        <v>0</v>
      </c>
      <c r="Z196" s="12">
        <f t="shared" si="7"/>
        <v>0</v>
      </c>
      <c r="AA196" s="12" t="str">
        <f>IF(I196&gt;=7500,"E",IF(I196&gt;=6800,"D",IF(I196&gt;=4200,"C",IF(I196&gt;=3000,"B",IF(I196&gt;=750,"A","Below Slab")))))</f>
        <v>E</v>
      </c>
      <c r="AB196" s="19" t="str">
        <f>IF(I196&gt;=7500,"Samsung front-load washing machine",IF(I196&gt;=6800,"Apple iPad",IF(I196&gt;=4200,"Robot Vacuum cleaner",IF(I196&gt;=3000,"Sony - sound bar, woofer and speakers",IF(I196&gt;=750,"Foot massager","Not eligible")))))</f>
        <v>Samsung front-load washing machine</v>
      </c>
    </row>
    <row r="197" spans="1:28" customFormat="1">
      <c r="A197" s="1" t="s">
        <v>595</v>
      </c>
      <c r="B197" s="21" t="s">
        <v>596</v>
      </c>
      <c r="C197" s="21" t="s">
        <v>43</v>
      </c>
      <c r="D197" s="1" t="s">
        <v>26</v>
      </c>
      <c r="E197" s="1" t="s">
        <v>579</v>
      </c>
      <c r="F197" s="1" t="s">
        <v>115</v>
      </c>
      <c r="G197" s="1" t="s">
        <v>9</v>
      </c>
      <c r="H197" s="23">
        <v>45.15</v>
      </c>
      <c r="I197" s="23">
        <v>1128.75</v>
      </c>
      <c r="J197" s="2" t="str">
        <f t="shared" si="6"/>
        <v/>
      </c>
      <c r="K197" s="2" t="str">
        <f>IF(J197="","",I197-J197)</f>
        <v/>
      </c>
      <c r="L197" s="1" t="s">
        <v>73</v>
      </c>
      <c r="M197" s="12"/>
      <c r="N197" s="12"/>
      <c r="O197" s="12"/>
      <c r="P197" s="12"/>
      <c r="Q197" s="12"/>
      <c r="R197" s="12"/>
      <c r="S197" s="12"/>
      <c r="T197" s="12">
        <f>IF(M197="",0,INDEX(Sheet2!A$2:A$6,MATCH(M197,Sheet2!C$2:C$6,0)))</f>
        <v>0</v>
      </c>
      <c r="U197" s="12">
        <f>IF(N197="",0,INDEX(Sheet2!A$2:A$6,MATCH(N197,Sheet2!C$2:C$6,0)))</f>
        <v>0</v>
      </c>
      <c r="V197" s="12">
        <f>IF(O197="",0,INDEX(Sheet2!A$2:A$6,MATCH(O197,Sheet2!C$2:C$6,0)))</f>
        <v>0</v>
      </c>
      <c r="W197" s="12">
        <f>IF(P197="",0,INDEX(Sheet2!A$2:A$6,MATCH(P197,Sheet2!C$2:C$6,0)))</f>
        <v>0</v>
      </c>
      <c r="X197" s="12">
        <f>IF(Q197="",0,INDEX(Sheet2!A$2:A$6,MATCH(Q197,Sheet2!C$2:C$6,0)))</f>
        <v>0</v>
      </c>
      <c r="Y197" s="12">
        <f>IF(R197="",0,INDEX(Sheet2!A$2:A$6,MATCH(R197,Sheet2!C$2:C$6,0)))</f>
        <v>0</v>
      </c>
      <c r="Z197" s="12">
        <f t="shared" si="7"/>
        <v>0</v>
      </c>
      <c r="AA197" s="12" t="str">
        <f>IF(I197&gt;=7500,"E",IF(I197&gt;=6800,"D",IF(I197&gt;=4200,"C",IF(I197&gt;=3000,"B",IF(I197&gt;=750,"A","Below Slab")))))</f>
        <v>A</v>
      </c>
      <c r="AB197" s="19" t="str">
        <f>IF(I197&gt;=7500,"Samsung front-load washing machine",IF(I197&gt;=6800,"Apple iPad",IF(I197&gt;=4200,"Robot Vacuum cleaner",IF(I197&gt;=3000,"Sony - sound bar, woofer and speakers",IF(I197&gt;=750,"Foot massager","Not eligible")))))</f>
        <v>Foot massager</v>
      </c>
    </row>
    <row r="198" spans="1:28" customFormat="1">
      <c r="A198" s="1" t="s">
        <v>597</v>
      </c>
      <c r="B198" s="21" t="s">
        <v>598</v>
      </c>
      <c r="C198" s="21" t="s">
        <v>43</v>
      </c>
      <c r="D198" s="1" t="s">
        <v>26</v>
      </c>
      <c r="E198" s="1" t="s">
        <v>599</v>
      </c>
      <c r="F198" s="1" t="s">
        <v>115</v>
      </c>
      <c r="G198" s="1" t="s">
        <v>9</v>
      </c>
      <c r="H198" s="23">
        <v>90.16</v>
      </c>
      <c r="I198" s="23">
        <v>2479.4</v>
      </c>
      <c r="J198" s="2" t="str">
        <f t="shared" si="6"/>
        <v/>
      </c>
      <c r="K198" s="2" t="str">
        <f>IF(J198="","",I198-J198)</f>
        <v/>
      </c>
      <c r="L198" s="1" t="s">
        <v>73</v>
      </c>
      <c r="M198" s="12"/>
      <c r="N198" s="12"/>
      <c r="O198" s="12"/>
      <c r="P198" s="12"/>
      <c r="Q198" s="12"/>
      <c r="R198" s="12"/>
      <c r="S198" s="12"/>
      <c r="T198" s="12">
        <f>IF(M198="",0,INDEX(Sheet2!A$2:A$6,MATCH(M198,Sheet2!C$2:C$6,0)))</f>
        <v>0</v>
      </c>
      <c r="U198" s="12">
        <f>IF(N198="",0,INDEX(Sheet2!A$2:A$6,MATCH(N198,Sheet2!C$2:C$6,0)))</f>
        <v>0</v>
      </c>
      <c r="V198" s="12">
        <f>IF(O198="",0,INDEX(Sheet2!A$2:A$6,MATCH(O198,Sheet2!C$2:C$6,0)))</f>
        <v>0</v>
      </c>
      <c r="W198" s="12">
        <f>IF(P198="",0,INDEX(Sheet2!A$2:A$6,MATCH(P198,Sheet2!C$2:C$6,0)))</f>
        <v>0</v>
      </c>
      <c r="X198" s="12">
        <f>IF(Q198="",0,INDEX(Sheet2!A$2:A$6,MATCH(Q198,Sheet2!C$2:C$6,0)))</f>
        <v>0</v>
      </c>
      <c r="Y198" s="12">
        <f>IF(R198="",0,INDEX(Sheet2!A$2:A$6,MATCH(R198,Sheet2!C$2:C$6,0)))</f>
        <v>0</v>
      </c>
      <c r="Z198" s="12">
        <f t="shared" si="7"/>
        <v>0</v>
      </c>
      <c r="AA198" s="12" t="str">
        <f>IF(I198&gt;=7500,"E",IF(I198&gt;=6800,"D",IF(I198&gt;=4200,"C",IF(I198&gt;=3000,"B",IF(I198&gt;=750,"A","Below Slab")))))</f>
        <v>A</v>
      </c>
      <c r="AB198" s="19" t="str">
        <f>IF(I198&gt;=7500,"Samsung front-load washing machine",IF(I198&gt;=6800,"Apple iPad",IF(I198&gt;=4200,"Robot Vacuum cleaner",IF(I198&gt;=3000,"Sony - sound bar, woofer and speakers",IF(I198&gt;=750,"Foot massager","Not eligible")))))</f>
        <v>Foot massager</v>
      </c>
    </row>
    <row r="199" spans="1:28" customFormat="1">
      <c r="A199" s="1" t="s">
        <v>600</v>
      </c>
      <c r="B199" s="21" t="s">
        <v>601</v>
      </c>
      <c r="C199" s="21" t="s">
        <v>43</v>
      </c>
      <c r="D199" s="1" t="s">
        <v>26</v>
      </c>
      <c r="E199" s="1" t="s">
        <v>602</v>
      </c>
      <c r="F199" s="1" t="s">
        <v>115</v>
      </c>
      <c r="G199" s="1" t="s">
        <v>9</v>
      </c>
      <c r="H199" s="23">
        <v>184.44</v>
      </c>
      <c r="I199" s="23">
        <v>5994.3</v>
      </c>
      <c r="J199" s="2" t="str">
        <f t="shared" si="6"/>
        <v/>
      </c>
      <c r="K199" s="2" t="str">
        <f>IF(J199="","",I199-J199)</f>
        <v/>
      </c>
      <c r="L199" s="1" t="s">
        <v>77</v>
      </c>
      <c r="M199" s="12"/>
      <c r="N199" s="12"/>
      <c r="O199" s="12"/>
      <c r="P199" s="12"/>
      <c r="Q199" s="12"/>
      <c r="R199" s="12"/>
      <c r="S199" s="12"/>
      <c r="T199" s="12">
        <f>IF(M199="",0,INDEX(Sheet2!A$2:A$6,MATCH(M199,Sheet2!C$2:C$6,0)))</f>
        <v>0</v>
      </c>
      <c r="U199" s="12">
        <f>IF(N199="",0,INDEX(Sheet2!A$2:A$6,MATCH(N199,Sheet2!C$2:C$6,0)))</f>
        <v>0</v>
      </c>
      <c r="V199" s="12">
        <f>IF(O199="",0,INDEX(Sheet2!A$2:A$6,MATCH(O199,Sheet2!C$2:C$6,0)))</f>
        <v>0</v>
      </c>
      <c r="W199" s="12">
        <f>IF(P199="",0,INDEX(Sheet2!A$2:A$6,MATCH(P199,Sheet2!C$2:C$6,0)))</f>
        <v>0</v>
      </c>
      <c r="X199" s="12">
        <f>IF(Q199="",0,INDEX(Sheet2!A$2:A$6,MATCH(Q199,Sheet2!C$2:C$6,0)))</f>
        <v>0</v>
      </c>
      <c r="Y199" s="12">
        <f>IF(R199="",0,INDEX(Sheet2!A$2:A$6,MATCH(R199,Sheet2!C$2:C$6,0)))</f>
        <v>0</v>
      </c>
      <c r="Z199" s="12">
        <f t="shared" si="7"/>
        <v>0</v>
      </c>
      <c r="AA199" s="12" t="str">
        <f>IF(I199&gt;=7500,"E",IF(I199&gt;=6800,"D",IF(I199&gt;=4200,"C",IF(I199&gt;=3000,"B",IF(I199&gt;=750,"A","Below Slab")))))</f>
        <v>C</v>
      </c>
      <c r="AB199" s="19" t="str">
        <f>IF(I199&gt;=7500,"Samsung front-load washing machine",IF(I199&gt;=6800,"Apple iPad",IF(I199&gt;=4200,"Robot Vacuum cleaner",IF(I199&gt;=3000,"Sony - sound bar, woofer and speakers",IF(I199&gt;=750,"Foot massager","Not eligible")))))</f>
        <v>Robot Vacuum cleaner</v>
      </c>
    </row>
    <row r="200" spans="1:28" customFormat="1">
      <c r="A200" s="1" t="s">
        <v>603</v>
      </c>
      <c r="B200" s="21" t="s">
        <v>604</v>
      </c>
      <c r="C200" s="21" t="s">
        <v>43</v>
      </c>
      <c r="D200" s="1" t="s">
        <v>26</v>
      </c>
      <c r="E200" s="1" t="s">
        <v>576</v>
      </c>
      <c r="F200" s="1" t="s">
        <v>115</v>
      </c>
      <c r="G200" s="1" t="s">
        <v>9</v>
      </c>
      <c r="H200" s="23">
        <v>99.88</v>
      </c>
      <c r="I200" s="23">
        <v>2746.7000000000003</v>
      </c>
      <c r="J200" s="2" t="str">
        <f t="shared" si="6"/>
        <v/>
      </c>
      <c r="K200" s="2" t="str">
        <f>IF(J200="","",I200-J200)</f>
        <v/>
      </c>
      <c r="L200" s="1" t="s">
        <v>73</v>
      </c>
      <c r="M200" s="12"/>
      <c r="N200" s="12"/>
      <c r="O200" s="12"/>
      <c r="P200" s="12"/>
      <c r="Q200" s="12"/>
      <c r="R200" s="12"/>
      <c r="S200" s="12"/>
      <c r="T200" s="12">
        <f>IF(M200="",0,INDEX(Sheet2!A$2:A$6,MATCH(M200,Sheet2!C$2:C$6,0)))</f>
        <v>0</v>
      </c>
      <c r="U200" s="12">
        <f>IF(N200="",0,INDEX(Sheet2!A$2:A$6,MATCH(N200,Sheet2!C$2:C$6,0)))</f>
        <v>0</v>
      </c>
      <c r="V200" s="12">
        <f>IF(O200="",0,INDEX(Sheet2!A$2:A$6,MATCH(O200,Sheet2!C$2:C$6,0)))</f>
        <v>0</v>
      </c>
      <c r="W200" s="12">
        <f>IF(P200="",0,INDEX(Sheet2!A$2:A$6,MATCH(P200,Sheet2!C$2:C$6,0)))</f>
        <v>0</v>
      </c>
      <c r="X200" s="12">
        <f>IF(Q200="",0,INDEX(Sheet2!A$2:A$6,MATCH(Q200,Sheet2!C$2:C$6,0)))</f>
        <v>0</v>
      </c>
      <c r="Y200" s="12">
        <f>IF(R200="",0,INDEX(Sheet2!A$2:A$6,MATCH(R200,Sheet2!C$2:C$6,0)))</f>
        <v>0</v>
      </c>
      <c r="Z200" s="12">
        <f t="shared" si="7"/>
        <v>0</v>
      </c>
      <c r="AA200" s="12" t="str">
        <f>IF(I200&gt;=7500,"E",IF(I200&gt;=6800,"D",IF(I200&gt;=4200,"C",IF(I200&gt;=3000,"B",IF(I200&gt;=750,"A","Below Slab")))))</f>
        <v>A</v>
      </c>
      <c r="AB200" s="19" t="str">
        <f>IF(I200&gt;=7500,"Samsung front-load washing machine",IF(I200&gt;=6800,"Apple iPad",IF(I200&gt;=4200,"Robot Vacuum cleaner",IF(I200&gt;=3000,"Sony - sound bar, woofer and speakers",IF(I200&gt;=750,"Foot massager","Not eligible")))))</f>
        <v>Foot massager</v>
      </c>
    </row>
    <row r="201" spans="1:28" customFormat="1">
      <c r="A201" s="1" t="s">
        <v>605</v>
      </c>
      <c r="B201" s="21" t="s">
        <v>606</v>
      </c>
      <c r="C201" s="21" t="s">
        <v>43</v>
      </c>
      <c r="D201" s="1" t="s">
        <v>26</v>
      </c>
      <c r="E201" s="1" t="s">
        <v>579</v>
      </c>
      <c r="F201" s="1" t="s">
        <v>115</v>
      </c>
      <c r="G201" s="1" t="s">
        <v>9</v>
      </c>
      <c r="H201" s="23">
        <v>126.45</v>
      </c>
      <c r="I201" s="23">
        <v>3793.5</v>
      </c>
      <c r="J201" s="2" t="str">
        <f t="shared" si="6"/>
        <v/>
      </c>
      <c r="K201" s="2" t="str">
        <f>IF(J201="","",I201-J201)</f>
        <v/>
      </c>
      <c r="L201" s="1" t="s">
        <v>134</v>
      </c>
      <c r="M201" s="12"/>
      <c r="N201" s="12"/>
      <c r="O201" s="12"/>
      <c r="P201" s="12"/>
      <c r="Q201" s="12"/>
      <c r="R201" s="12"/>
      <c r="S201" s="12"/>
      <c r="T201" s="12">
        <f>IF(M201="",0,INDEX(Sheet2!A$2:A$6,MATCH(M201,Sheet2!C$2:C$6,0)))</f>
        <v>0</v>
      </c>
      <c r="U201" s="12">
        <f>IF(N201="",0,INDEX(Sheet2!A$2:A$6,MATCH(N201,Sheet2!C$2:C$6,0)))</f>
        <v>0</v>
      </c>
      <c r="V201" s="12">
        <f>IF(O201="",0,INDEX(Sheet2!A$2:A$6,MATCH(O201,Sheet2!C$2:C$6,0)))</f>
        <v>0</v>
      </c>
      <c r="W201" s="12">
        <f>IF(P201="",0,INDEX(Sheet2!A$2:A$6,MATCH(P201,Sheet2!C$2:C$6,0)))</f>
        <v>0</v>
      </c>
      <c r="X201" s="12">
        <f>IF(Q201="",0,INDEX(Sheet2!A$2:A$6,MATCH(Q201,Sheet2!C$2:C$6,0)))</f>
        <v>0</v>
      </c>
      <c r="Y201" s="12">
        <f>IF(R201="",0,INDEX(Sheet2!A$2:A$6,MATCH(R201,Sheet2!C$2:C$6,0)))</f>
        <v>0</v>
      </c>
      <c r="Z201" s="12">
        <f t="shared" si="7"/>
        <v>0</v>
      </c>
      <c r="AA201" s="12" t="str">
        <f>IF(I201&gt;=7500,"E",IF(I201&gt;=6800,"D",IF(I201&gt;=4200,"C",IF(I201&gt;=3000,"B",IF(I201&gt;=750,"A","Below Slab")))))</f>
        <v>B</v>
      </c>
      <c r="AB201" s="19" t="str">
        <f>IF(I201&gt;=7500,"Samsung front-load washing machine",IF(I201&gt;=6800,"Apple iPad",IF(I201&gt;=4200,"Robot Vacuum cleaner",IF(I201&gt;=3000,"Sony - sound bar, woofer and speakers",IF(I201&gt;=750,"Foot massager","Not eligible")))))</f>
        <v>Sony - sound bar, woofer and speakers</v>
      </c>
    </row>
    <row r="202" spans="1:28" customFormat="1">
      <c r="A202" s="1" t="s">
        <v>607</v>
      </c>
      <c r="B202" s="21" t="s">
        <v>608</v>
      </c>
      <c r="C202" s="21" t="s">
        <v>43</v>
      </c>
      <c r="D202" s="1" t="s">
        <v>26</v>
      </c>
      <c r="E202" s="1" t="s">
        <v>602</v>
      </c>
      <c r="F202" s="1" t="s">
        <v>115</v>
      </c>
      <c r="G202" s="1" t="s">
        <v>9</v>
      </c>
      <c r="H202" s="23">
        <v>36.42</v>
      </c>
      <c r="I202" s="23">
        <v>910.5</v>
      </c>
      <c r="J202" s="2" t="str">
        <f t="shared" si="6"/>
        <v/>
      </c>
      <c r="K202" s="2" t="str">
        <f>IF(J202="","",I202-J202)</f>
        <v/>
      </c>
      <c r="L202" s="1" t="s">
        <v>73</v>
      </c>
      <c r="M202" s="12"/>
      <c r="N202" s="12"/>
      <c r="O202" s="12"/>
      <c r="P202" s="12"/>
      <c r="Q202" s="12"/>
      <c r="R202" s="12"/>
      <c r="S202" s="12"/>
      <c r="T202" s="12">
        <f>IF(M202="",0,INDEX(Sheet2!A$2:A$6,MATCH(M202,Sheet2!C$2:C$6,0)))</f>
        <v>0</v>
      </c>
      <c r="U202" s="12">
        <f>IF(N202="",0,INDEX(Sheet2!A$2:A$6,MATCH(N202,Sheet2!C$2:C$6,0)))</f>
        <v>0</v>
      </c>
      <c r="V202" s="12">
        <f>IF(O202="",0,INDEX(Sheet2!A$2:A$6,MATCH(O202,Sheet2!C$2:C$6,0)))</f>
        <v>0</v>
      </c>
      <c r="W202" s="12">
        <f>IF(P202="",0,INDEX(Sheet2!A$2:A$6,MATCH(P202,Sheet2!C$2:C$6,0)))</f>
        <v>0</v>
      </c>
      <c r="X202" s="12">
        <f>IF(Q202="",0,INDEX(Sheet2!A$2:A$6,MATCH(Q202,Sheet2!C$2:C$6,0)))</f>
        <v>0</v>
      </c>
      <c r="Y202" s="12">
        <f>IF(R202="",0,INDEX(Sheet2!A$2:A$6,MATCH(R202,Sheet2!C$2:C$6,0)))</f>
        <v>0</v>
      </c>
      <c r="Z202" s="12">
        <f t="shared" si="7"/>
        <v>0</v>
      </c>
      <c r="AA202" s="12" t="str">
        <f>IF(I202&gt;=7500,"E",IF(I202&gt;=6800,"D",IF(I202&gt;=4200,"C",IF(I202&gt;=3000,"B",IF(I202&gt;=750,"A","Below Slab")))))</f>
        <v>A</v>
      </c>
      <c r="AB202" s="19" t="str">
        <f>IF(I202&gt;=7500,"Samsung front-load washing machine",IF(I202&gt;=6800,"Apple iPad",IF(I202&gt;=4200,"Robot Vacuum cleaner",IF(I202&gt;=3000,"Sony - sound bar, woofer and speakers",IF(I202&gt;=750,"Foot massager","Not eligible")))))</f>
        <v>Foot massager</v>
      </c>
    </row>
    <row r="203" spans="1:28" customFormat="1">
      <c r="A203" s="1" t="s">
        <v>609</v>
      </c>
      <c r="B203" s="21" t="s">
        <v>610</v>
      </c>
      <c r="C203" s="21" t="s">
        <v>63</v>
      </c>
      <c r="D203" s="1" t="s">
        <v>26</v>
      </c>
      <c r="E203" s="1" t="s">
        <v>611</v>
      </c>
      <c r="F203" s="1" t="s">
        <v>115</v>
      </c>
      <c r="G203" s="1" t="s">
        <v>9</v>
      </c>
      <c r="H203" s="23">
        <v>125.88999999999999</v>
      </c>
      <c r="I203" s="23">
        <v>3776.6999999999994</v>
      </c>
      <c r="J203" s="2" t="str">
        <f t="shared" si="6"/>
        <v/>
      </c>
      <c r="K203" s="2" t="str">
        <f>IF(J203="","",I203-J203)</f>
        <v/>
      </c>
      <c r="L203" s="1" t="s">
        <v>134</v>
      </c>
      <c r="M203" s="12"/>
      <c r="N203" s="12"/>
      <c r="O203" s="12"/>
      <c r="P203" s="12"/>
      <c r="Q203" s="12"/>
      <c r="R203" s="12"/>
      <c r="S203" s="12"/>
      <c r="T203" s="12">
        <f>IF(M203="",0,INDEX(Sheet2!A$2:A$6,MATCH(M203,Sheet2!C$2:C$6,0)))</f>
        <v>0</v>
      </c>
      <c r="U203" s="12">
        <f>IF(N203="",0,INDEX(Sheet2!A$2:A$6,MATCH(N203,Sheet2!C$2:C$6,0)))</f>
        <v>0</v>
      </c>
      <c r="V203" s="12">
        <f>IF(O203="",0,INDEX(Sheet2!A$2:A$6,MATCH(O203,Sheet2!C$2:C$6,0)))</f>
        <v>0</v>
      </c>
      <c r="W203" s="12">
        <f>IF(P203="",0,INDEX(Sheet2!A$2:A$6,MATCH(P203,Sheet2!C$2:C$6,0)))</f>
        <v>0</v>
      </c>
      <c r="X203" s="12">
        <f>IF(Q203="",0,INDEX(Sheet2!A$2:A$6,MATCH(Q203,Sheet2!C$2:C$6,0)))</f>
        <v>0</v>
      </c>
      <c r="Y203" s="12">
        <f>IF(R203="",0,INDEX(Sheet2!A$2:A$6,MATCH(R203,Sheet2!C$2:C$6,0)))</f>
        <v>0</v>
      </c>
      <c r="Z203" s="12">
        <f t="shared" si="7"/>
        <v>0</v>
      </c>
      <c r="AA203" s="12" t="str">
        <f>IF(I203&gt;=7500,"E",IF(I203&gt;=6800,"D",IF(I203&gt;=4200,"C",IF(I203&gt;=3000,"B",IF(I203&gt;=750,"A","Below Slab")))))</f>
        <v>B</v>
      </c>
      <c r="AB203" s="19" t="str">
        <f>IF(I203&gt;=7500,"Samsung front-load washing machine",IF(I203&gt;=6800,"Apple iPad",IF(I203&gt;=4200,"Robot Vacuum cleaner",IF(I203&gt;=3000,"Sony - sound bar, woofer and speakers",IF(I203&gt;=750,"Foot massager","Not eligible")))))</f>
        <v>Sony - sound bar, woofer and speakers</v>
      </c>
    </row>
    <row r="204" spans="1:28" customFormat="1">
      <c r="A204" s="1" t="s">
        <v>612</v>
      </c>
      <c r="B204" s="21" t="s">
        <v>613</v>
      </c>
      <c r="C204" s="21" t="s">
        <v>63</v>
      </c>
      <c r="D204" s="1" t="s">
        <v>26</v>
      </c>
      <c r="E204" s="1" t="s">
        <v>614</v>
      </c>
      <c r="F204" s="1" t="s">
        <v>115</v>
      </c>
      <c r="G204" s="1" t="s">
        <v>9</v>
      </c>
      <c r="H204" s="23">
        <v>92.44</v>
      </c>
      <c r="I204" s="23">
        <v>2542.1000000000004</v>
      </c>
      <c r="J204" s="2" t="str">
        <f t="shared" si="6"/>
        <v/>
      </c>
      <c r="K204" s="2" t="str">
        <f>IF(J204="","",I204-J204)</f>
        <v/>
      </c>
      <c r="L204" s="1" t="s">
        <v>73</v>
      </c>
      <c r="M204" s="12"/>
      <c r="N204" s="12"/>
      <c r="O204" s="12"/>
      <c r="P204" s="12"/>
      <c r="Q204" s="12"/>
      <c r="R204" s="12"/>
      <c r="S204" s="12"/>
      <c r="T204" s="12">
        <f>IF(M204="",0,INDEX(Sheet2!A$2:A$6,MATCH(M204,Sheet2!C$2:C$6,0)))</f>
        <v>0</v>
      </c>
      <c r="U204" s="12">
        <f>IF(N204="",0,INDEX(Sheet2!A$2:A$6,MATCH(N204,Sheet2!C$2:C$6,0)))</f>
        <v>0</v>
      </c>
      <c r="V204" s="12">
        <f>IF(O204="",0,INDEX(Sheet2!A$2:A$6,MATCH(O204,Sheet2!C$2:C$6,0)))</f>
        <v>0</v>
      </c>
      <c r="W204" s="12">
        <f>IF(P204="",0,INDEX(Sheet2!A$2:A$6,MATCH(P204,Sheet2!C$2:C$6,0)))</f>
        <v>0</v>
      </c>
      <c r="X204" s="12">
        <f>IF(Q204="",0,INDEX(Sheet2!A$2:A$6,MATCH(Q204,Sheet2!C$2:C$6,0)))</f>
        <v>0</v>
      </c>
      <c r="Y204" s="12">
        <f>IF(R204="",0,INDEX(Sheet2!A$2:A$6,MATCH(R204,Sheet2!C$2:C$6,0)))</f>
        <v>0</v>
      </c>
      <c r="Z204" s="12">
        <f t="shared" si="7"/>
        <v>0</v>
      </c>
      <c r="AA204" s="12" t="str">
        <f>IF(I204&gt;=7500,"E",IF(I204&gt;=6800,"D",IF(I204&gt;=4200,"C",IF(I204&gt;=3000,"B",IF(I204&gt;=750,"A","Below Slab")))))</f>
        <v>A</v>
      </c>
      <c r="AB204" s="19" t="str">
        <f>IF(I204&gt;=7500,"Samsung front-load washing machine",IF(I204&gt;=6800,"Apple iPad",IF(I204&gt;=4200,"Robot Vacuum cleaner",IF(I204&gt;=3000,"Sony - sound bar, woofer and speakers",IF(I204&gt;=750,"Foot massager","Not eligible")))))</f>
        <v>Foot massager</v>
      </c>
    </row>
    <row r="205" spans="1:28" customFormat="1">
      <c r="A205" s="1" t="s">
        <v>615</v>
      </c>
      <c r="B205" s="21" t="s">
        <v>616</v>
      </c>
      <c r="C205" s="21" t="s">
        <v>63</v>
      </c>
      <c r="D205" s="1" t="s">
        <v>26</v>
      </c>
      <c r="E205" s="1" t="s">
        <v>617</v>
      </c>
      <c r="F205" s="1" t="s">
        <v>115</v>
      </c>
      <c r="G205" s="1" t="s">
        <v>9</v>
      </c>
      <c r="H205" s="23">
        <v>86</v>
      </c>
      <c r="I205" s="23">
        <v>2365</v>
      </c>
      <c r="J205" s="2" t="str">
        <f t="shared" si="6"/>
        <v/>
      </c>
      <c r="K205" s="2" t="str">
        <f>IF(J205="","",I205-J205)</f>
        <v/>
      </c>
      <c r="L205" s="1" t="s">
        <v>73</v>
      </c>
      <c r="M205" s="12"/>
      <c r="N205" s="12"/>
      <c r="O205" s="12"/>
      <c r="P205" s="12"/>
      <c r="Q205" s="12"/>
      <c r="R205" s="12"/>
      <c r="S205" s="12"/>
      <c r="T205" s="12">
        <f>IF(M205="",0,INDEX(Sheet2!A$2:A$6,MATCH(M205,Sheet2!C$2:C$6,0)))</f>
        <v>0</v>
      </c>
      <c r="U205" s="12">
        <f>IF(N205="",0,INDEX(Sheet2!A$2:A$6,MATCH(N205,Sheet2!C$2:C$6,0)))</f>
        <v>0</v>
      </c>
      <c r="V205" s="12">
        <f>IF(O205="",0,INDEX(Sheet2!A$2:A$6,MATCH(O205,Sheet2!C$2:C$6,0)))</f>
        <v>0</v>
      </c>
      <c r="W205" s="12">
        <f>IF(P205="",0,INDEX(Sheet2!A$2:A$6,MATCH(P205,Sheet2!C$2:C$6,0)))</f>
        <v>0</v>
      </c>
      <c r="X205" s="12">
        <f>IF(Q205="",0,INDEX(Sheet2!A$2:A$6,MATCH(Q205,Sheet2!C$2:C$6,0)))</f>
        <v>0</v>
      </c>
      <c r="Y205" s="12">
        <f>IF(R205="",0,INDEX(Sheet2!A$2:A$6,MATCH(R205,Sheet2!C$2:C$6,0)))</f>
        <v>0</v>
      </c>
      <c r="Z205" s="12">
        <f t="shared" si="7"/>
        <v>0</v>
      </c>
      <c r="AA205" s="12" t="str">
        <f>IF(I205&gt;=7500,"E",IF(I205&gt;=6800,"D",IF(I205&gt;=4200,"C",IF(I205&gt;=3000,"B",IF(I205&gt;=750,"A","Below Slab")))))</f>
        <v>A</v>
      </c>
      <c r="AB205" s="19" t="str">
        <f>IF(I205&gt;=7500,"Samsung front-load washing machine",IF(I205&gt;=6800,"Apple iPad",IF(I205&gt;=4200,"Robot Vacuum cleaner",IF(I205&gt;=3000,"Sony - sound bar, woofer and speakers",IF(I205&gt;=750,"Foot massager","Not eligible")))))</f>
        <v>Foot massager</v>
      </c>
    </row>
    <row r="206" spans="1:28" customFormat="1">
      <c r="A206" s="1" t="s">
        <v>618</v>
      </c>
      <c r="B206" s="21" t="s">
        <v>619</v>
      </c>
      <c r="C206" s="21" t="s">
        <v>63</v>
      </c>
      <c r="D206" s="1" t="s">
        <v>26</v>
      </c>
      <c r="E206" s="1" t="s">
        <v>617</v>
      </c>
      <c r="F206" s="1" t="s">
        <v>115</v>
      </c>
      <c r="G206" s="1" t="s">
        <v>9</v>
      </c>
      <c r="H206" s="23">
        <v>50.03</v>
      </c>
      <c r="I206" s="23">
        <v>1375.825</v>
      </c>
      <c r="J206" s="2" t="str">
        <f t="shared" si="6"/>
        <v/>
      </c>
      <c r="K206" s="2" t="str">
        <f>IF(J206="","",I206-J206)</f>
        <v/>
      </c>
      <c r="L206" s="1" t="s">
        <v>73</v>
      </c>
      <c r="M206" s="12"/>
      <c r="N206" s="12"/>
      <c r="O206" s="12"/>
      <c r="P206" s="12"/>
      <c r="Q206" s="12"/>
      <c r="R206" s="12"/>
      <c r="S206" s="12"/>
      <c r="T206" s="12">
        <f>IF(M206="",0,INDEX(Sheet2!A$2:A$6,MATCH(M206,Sheet2!C$2:C$6,0)))</f>
        <v>0</v>
      </c>
      <c r="U206" s="12">
        <f>IF(N206="",0,INDEX(Sheet2!A$2:A$6,MATCH(N206,Sheet2!C$2:C$6,0)))</f>
        <v>0</v>
      </c>
      <c r="V206" s="12">
        <f>IF(O206="",0,INDEX(Sheet2!A$2:A$6,MATCH(O206,Sheet2!C$2:C$6,0)))</f>
        <v>0</v>
      </c>
      <c r="W206" s="12">
        <f>IF(P206="",0,INDEX(Sheet2!A$2:A$6,MATCH(P206,Sheet2!C$2:C$6,0)))</f>
        <v>0</v>
      </c>
      <c r="X206" s="12">
        <f>IF(Q206="",0,INDEX(Sheet2!A$2:A$6,MATCH(Q206,Sheet2!C$2:C$6,0)))</f>
        <v>0</v>
      </c>
      <c r="Y206" s="12">
        <f>IF(R206="",0,INDEX(Sheet2!A$2:A$6,MATCH(R206,Sheet2!C$2:C$6,0)))</f>
        <v>0</v>
      </c>
      <c r="Z206" s="12">
        <f t="shared" si="7"/>
        <v>0</v>
      </c>
      <c r="AA206" s="12" t="str">
        <f>IF(I206&gt;=7500,"E",IF(I206&gt;=6800,"D",IF(I206&gt;=4200,"C",IF(I206&gt;=3000,"B",IF(I206&gt;=750,"A","Below Slab")))))</f>
        <v>A</v>
      </c>
      <c r="AB206" s="19" t="str">
        <f>IF(I206&gt;=7500,"Samsung front-load washing machine",IF(I206&gt;=6800,"Apple iPad",IF(I206&gt;=4200,"Robot Vacuum cleaner",IF(I206&gt;=3000,"Sony - sound bar, woofer and speakers",IF(I206&gt;=750,"Foot massager","Not eligible")))))</f>
        <v>Foot massager</v>
      </c>
    </row>
    <row r="207" spans="1:28" customFormat="1">
      <c r="A207" s="1" t="s">
        <v>620</v>
      </c>
      <c r="B207" s="21" t="s">
        <v>621</v>
      </c>
      <c r="C207" s="21" t="s">
        <v>63</v>
      </c>
      <c r="D207" s="1" t="s">
        <v>26</v>
      </c>
      <c r="E207" s="1" t="s">
        <v>622</v>
      </c>
      <c r="F207" s="1" t="s">
        <v>115</v>
      </c>
      <c r="G207" s="1" t="s">
        <v>9</v>
      </c>
      <c r="H207" s="23">
        <v>62.069999999999993</v>
      </c>
      <c r="I207" s="23">
        <v>1706.925</v>
      </c>
      <c r="J207" s="2" t="str">
        <f t="shared" si="6"/>
        <v/>
      </c>
      <c r="K207" s="2" t="str">
        <f>IF(J207="","",I207-J207)</f>
        <v/>
      </c>
      <c r="L207" s="1" t="s">
        <v>73</v>
      </c>
      <c r="M207" s="12"/>
      <c r="N207" s="12"/>
      <c r="O207" s="12"/>
      <c r="P207" s="12"/>
      <c r="Q207" s="12"/>
      <c r="R207" s="12"/>
      <c r="S207" s="12"/>
      <c r="T207" s="12">
        <f>IF(M207="",0,INDEX(Sheet2!A$2:A$6,MATCH(M207,Sheet2!C$2:C$6,0)))</f>
        <v>0</v>
      </c>
      <c r="U207" s="12">
        <f>IF(N207="",0,INDEX(Sheet2!A$2:A$6,MATCH(N207,Sheet2!C$2:C$6,0)))</f>
        <v>0</v>
      </c>
      <c r="V207" s="12">
        <f>IF(O207="",0,INDEX(Sheet2!A$2:A$6,MATCH(O207,Sheet2!C$2:C$6,0)))</f>
        <v>0</v>
      </c>
      <c r="W207" s="12">
        <f>IF(P207="",0,INDEX(Sheet2!A$2:A$6,MATCH(P207,Sheet2!C$2:C$6,0)))</f>
        <v>0</v>
      </c>
      <c r="X207" s="12">
        <f>IF(Q207="",0,INDEX(Sheet2!A$2:A$6,MATCH(Q207,Sheet2!C$2:C$6,0)))</f>
        <v>0</v>
      </c>
      <c r="Y207" s="12">
        <f>IF(R207="",0,INDEX(Sheet2!A$2:A$6,MATCH(R207,Sheet2!C$2:C$6,0)))</f>
        <v>0</v>
      </c>
      <c r="Z207" s="12">
        <f t="shared" si="7"/>
        <v>0</v>
      </c>
      <c r="AA207" s="12" t="str">
        <f>IF(I207&gt;=7500,"E",IF(I207&gt;=6800,"D",IF(I207&gt;=4200,"C",IF(I207&gt;=3000,"B",IF(I207&gt;=750,"A","Below Slab")))))</f>
        <v>A</v>
      </c>
      <c r="AB207" s="19" t="str">
        <f>IF(I207&gt;=7500,"Samsung front-load washing machine",IF(I207&gt;=6800,"Apple iPad",IF(I207&gt;=4200,"Robot Vacuum cleaner",IF(I207&gt;=3000,"Sony - sound bar, woofer and speakers",IF(I207&gt;=750,"Foot massager","Not eligible")))))</f>
        <v>Foot massager</v>
      </c>
    </row>
    <row r="208" spans="1:28" customFormat="1">
      <c r="A208" s="1" t="s">
        <v>623</v>
      </c>
      <c r="B208" s="21" t="s">
        <v>624</v>
      </c>
      <c r="C208" s="21" t="s">
        <v>63</v>
      </c>
      <c r="D208" s="1" t="s">
        <v>26</v>
      </c>
      <c r="E208" s="1" t="s">
        <v>528</v>
      </c>
      <c r="F208" s="1" t="s">
        <v>115</v>
      </c>
      <c r="G208" s="1" t="s">
        <v>9</v>
      </c>
      <c r="H208" s="23">
        <v>209.51</v>
      </c>
      <c r="I208" s="23">
        <v>7856.625</v>
      </c>
      <c r="J208" s="2" t="str">
        <f t="shared" si="6"/>
        <v/>
      </c>
      <c r="K208" s="2" t="str">
        <f>IF(J208="","",I208-J208)</f>
        <v/>
      </c>
      <c r="L208" s="1" t="s">
        <v>81</v>
      </c>
      <c r="M208" s="12"/>
      <c r="N208" s="12"/>
      <c r="O208" s="12"/>
      <c r="P208" s="12"/>
      <c r="Q208" s="12"/>
      <c r="R208" s="12"/>
      <c r="S208" s="12"/>
      <c r="T208" s="12">
        <f>IF(M208="",0,INDEX(Sheet2!A$2:A$6,MATCH(M208,Sheet2!C$2:C$6,0)))</f>
        <v>0</v>
      </c>
      <c r="U208" s="12">
        <f>IF(N208="",0,INDEX(Sheet2!A$2:A$6,MATCH(N208,Sheet2!C$2:C$6,0)))</f>
        <v>0</v>
      </c>
      <c r="V208" s="12">
        <f>IF(O208="",0,INDEX(Sheet2!A$2:A$6,MATCH(O208,Sheet2!C$2:C$6,0)))</f>
        <v>0</v>
      </c>
      <c r="W208" s="12">
        <f>IF(P208="",0,INDEX(Sheet2!A$2:A$6,MATCH(P208,Sheet2!C$2:C$6,0)))</f>
        <v>0</v>
      </c>
      <c r="X208" s="12">
        <f>IF(Q208="",0,INDEX(Sheet2!A$2:A$6,MATCH(Q208,Sheet2!C$2:C$6,0)))</f>
        <v>0</v>
      </c>
      <c r="Y208" s="12">
        <f>IF(R208="",0,INDEX(Sheet2!A$2:A$6,MATCH(R208,Sheet2!C$2:C$6,0)))</f>
        <v>0</v>
      </c>
      <c r="Z208" s="12">
        <f t="shared" si="7"/>
        <v>0</v>
      </c>
      <c r="AA208" s="12" t="str">
        <f>IF(I208&gt;=7500,"E",IF(I208&gt;=6800,"D",IF(I208&gt;=4200,"C",IF(I208&gt;=3000,"B",IF(I208&gt;=750,"A","Below Slab")))))</f>
        <v>E</v>
      </c>
      <c r="AB208" s="19" t="str">
        <f>IF(I208&gt;=7500,"Samsung front-load washing machine",IF(I208&gt;=6800,"Apple iPad",IF(I208&gt;=4200,"Robot Vacuum cleaner",IF(I208&gt;=3000,"Sony - sound bar, woofer and speakers",IF(I208&gt;=750,"Foot massager","Not eligible")))))</f>
        <v>Samsung front-load washing machine</v>
      </c>
    </row>
    <row r="209" spans="1:28" customFormat="1">
      <c r="A209" s="1" t="s">
        <v>625</v>
      </c>
      <c r="B209" s="21" t="s">
        <v>626</v>
      </c>
      <c r="C209" s="21" t="s">
        <v>63</v>
      </c>
      <c r="D209" s="1" t="s">
        <v>26</v>
      </c>
      <c r="E209" s="1" t="s">
        <v>627</v>
      </c>
      <c r="F209" s="1" t="s">
        <v>115</v>
      </c>
      <c r="G209" s="1" t="s">
        <v>9</v>
      </c>
      <c r="H209" s="23">
        <v>35.730000000000004</v>
      </c>
      <c r="I209" s="23">
        <v>893.25000000000011</v>
      </c>
      <c r="J209" s="2" t="str">
        <f t="shared" si="6"/>
        <v/>
      </c>
      <c r="K209" s="2" t="str">
        <f>IF(J209="","",I209-J209)</f>
        <v/>
      </c>
      <c r="L209" s="1" t="s">
        <v>73</v>
      </c>
      <c r="M209" s="12"/>
      <c r="N209" s="12"/>
      <c r="O209" s="12"/>
      <c r="P209" s="12"/>
      <c r="Q209" s="12"/>
      <c r="R209" s="12"/>
      <c r="S209" s="12"/>
      <c r="T209" s="12">
        <f>IF(M209="",0,INDEX(Sheet2!A$2:A$6,MATCH(M209,Sheet2!C$2:C$6,0)))</f>
        <v>0</v>
      </c>
      <c r="U209" s="12">
        <f>IF(N209="",0,INDEX(Sheet2!A$2:A$6,MATCH(N209,Sheet2!C$2:C$6,0)))</f>
        <v>0</v>
      </c>
      <c r="V209" s="12">
        <f>IF(O209="",0,INDEX(Sheet2!A$2:A$6,MATCH(O209,Sheet2!C$2:C$6,0)))</f>
        <v>0</v>
      </c>
      <c r="W209" s="12">
        <f>IF(P209="",0,INDEX(Sheet2!A$2:A$6,MATCH(P209,Sheet2!C$2:C$6,0)))</f>
        <v>0</v>
      </c>
      <c r="X209" s="12">
        <f>IF(Q209="",0,INDEX(Sheet2!A$2:A$6,MATCH(Q209,Sheet2!C$2:C$6,0)))</f>
        <v>0</v>
      </c>
      <c r="Y209" s="12">
        <f>IF(R209="",0,INDEX(Sheet2!A$2:A$6,MATCH(R209,Sheet2!C$2:C$6,0)))</f>
        <v>0</v>
      </c>
      <c r="Z209" s="12">
        <f t="shared" si="7"/>
        <v>0</v>
      </c>
      <c r="AA209" s="12" t="str">
        <f>IF(I209&gt;=7500,"E",IF(I209&gt;=6800,"D",IF(I209&gt;=4200,"C",IF(I209&gt;=3000,"B",IF(I209&gt;=750,"A","Below Slab")))))</f>
        <v>A</v>
      </c>
      <c r="AB209" s="19" t="str">
        <f>IF(I209&gt;=7500,"Samsung front-load washing machine",IF(I209&gt;=6800,"Apple iPad",IF(I209&gt;=4200,"Robot Vacuum cleaner",IF(I209&gt;=3000,"Sony - sound bar, woofer and speakers",IF(I209&gt;=750,"Foot massager","Not eligible")))))</f>
        <v>Foot massager</v>
      </c>
    </row>
    <row r="210" spans="1:28" customFormat="1">
      <c r="A210" s="1" t="s">
        <v>628</v>
      </c>
      <c r="B210" s="21" t="s">
        <v>629</v>
      </c>
      <c r="C210" s="21" t="s">
        <v>63</v>
      </c>
      <c r="D210" s="1" t="s">
        <v>26</v>
      </c>
      <c r="E210" s="1" t="s">
        <v>630</v>
      </c>
      <c r="F210" s="1" t="s">
        <v>115</v>
      </c>
      <c r="G210" s="1" t="s">
        <v>9</v>
      </c>
      <c r="H210" s="23">
        <v>42.3</v>
      </c>
      <c r="I210" s="23">
        <v>1057.5</v>
      </c>
      <c r="J210" s="2" t="str">
        <f t="shared" si="6"/>
        <v/>
      </c>
      <c r="K210" s="2" t="str">
        <f>IF(J210="","",I210-J210)</f>
        <v/>
      </c>
      <c r="L210" s="1" t="s">
        <v>73</v>
      </c>
      <c r="M210" s="12"/>
      <c r="N210" s="12"/>
      <c r="O210" s="12"/>
      <c r="P210" s="12"/>
      <c r="Q210" s="12"/>
      <c r="R210" s="12"/>
      <c r="S210" s="12"/>
      <c r="T210" s="12">
        <f>IF(M210="",0,INDEX(Sheet2!A$2:A$6,MATCH(M210,Sheet2!C$2:C$6,0)))</f>
        <v>0</v>
      </c>
      <c r="U210" s="12">
        <f>IF(N210="",0,INDEX(Sheet2!A$2:A$6,MATCH(N210,Sheet2!C$2:C$6,0)))</f>
        <v>0</v>
      </c>
      <c r="V210" s="12">
        <f>IF(O210="",0,INDEX(Sheet2!A$2:A$6,MATCH(O210,Sheet2!C$2:C$6,0)))</f>
        <v>0</v>
      </c>
      <c r="W210" s="12">
        <f>IF(P210="",0,INDEX(Sheet2!A$2:A$6,MATCH(P210,Sheet2!C$2:C$6,0)))</f>
        <v>0</v>
      </c>
      <c r="X210" s="12">
        <f>IF(Q210="",0,INDEX(Sheet2!A$2:A$6,MATCH(Q210,Sheet2!C$2:C$6,0)))</f>
        <v>0</v>
      </c>
      <c r="Y210" s="12">
        <f>IF(R210="",0,INDEX(Sheet2!A$2:A$6,MATCH(R210,Sheet2!C$2:C$6,0)))</f>
        <v>0</v>
      </c>
      <c r="Z210" s="12">
        <f t="shared" si="7"/>
        <v>0</v>
      </c>
      <c r="AA210" s="12" t="str">
        <f>IF(I210&gt;=7500,"E",IF(I210&gt;=6800,"D",IF(I210&gt;=4200,"C",IF(I210&gt;=3000,"B",IF(I210&gt;=750,"A","Below Slab")))))</f>
        <v>A</v>
      </c>
      <c r="AB210" s="19" t="str">
        <f>IF(I210&gt;=7500,"Samsung front-load washing machine",IF(I210&gt;=6800,"Apple iPad",IF(I210&gt;=4200,"Robot Vacuum cleaner",IF(I210&gt;=3000,"Sony - sound bar, woofer and speakers",IF(I210&gt;=750,"Foot massager","Not eligible")))))</f>
        <v>Foot massager</v>
      </c>
    </row>
    <row r="211" spans="1:28" customFormat="1">
      <c r="A211" s="1" t="s">
        <v>631</v>
      </c>
      <c r="B211" s="21" t="s">
        <v>632</v>
      </c>
      <c r="C211" s="21" t="s">
        <v>63</v>
      </c>
      <c r="D211" s="1" t="s">
        <v>26</v>
      </c>
      <c r="E211" s="1" t="s">
        <v>627</v>
      </c>
      <c r="F211" s="1" t="s">
        <v>115</v>
      </c>
      <c r="G211" s="1" t="s">
        <v>9</v>
      </c>
      <c r="H211" s="23">
        <v>183.93</v>
      </c>
      <c r="I211" s="23">
        <v>5977.7250000000004</v>
      </c>
      <c r="J211" s="2" t="str">
        <f t="shared" si="6"/>
        <v/>
      </c>
      <c r="K211" s="2" t="str">
        <f>IF(J211="","",I211-J211)</f>
        <v/>
      </c>
      <c r="L211" s="1" t="s">
        <v>77</v>
      </c>
      <c r="M211" s="12"/>
      <c r="N211" s="12"/>
      <c r="O211" s="12"/>
      <c r="P211" s="12"/>
      <c r="Q211" s="12"/>
      <c r="R211" s="12"/>
      <c r="S211" s="12"/>
      <c r="T211" s="12">
        <f>IF(M211="",0,INDEX(Sheet2!A$2:A$6,MATCH(M211,Sheet2!C$2:C$6,0)))</f>
        <v>0</v>
      </c>
      <c r="U211" s="12">
        <f>IF(N211="",0,INDEX(Sheet2!A$2:A$6,MATCH(N211,Sheet2!C$2:C$6,0)))</f>
        <v>0</v>
      </c>
      <c r="V211" s="12">
        <f>IF(O211="",0,INDEX(Sheet2!A$2:A$6,MATCH(O211,Sheet2!C$2:C$6,0)))</f>
        <v>0</v>
      </c>
      <c r="W211" s="12">
        <f>IF(P211="",0,INDEX(Sheet2!A$2:A$6,MATCH(P211,Sheet2!C$2:C$6,0)))</f>
        <v>0</v>
      </c>
      <c r="X211" s="12">
        <f>IF(Q211="",0,INDEX(Sheet2!A$2:A$6,MATCH(Q211,Sheet2!C$2:C$6,0)))</f>
        <v>0</v>
      </c>
      <c r="Y211" s="12">
        <f>IF(R211="",0,INDEX(Sheet2!A$2:A$6,MATCH(R211,Sheet2!C$2:C$6,0)))</f>
        <v>0</v>
      </c>
      <c r="Z211" s="12">
        <f t="shared" si="7"/>
        <v>0</v>
      </c>
      <c r="AA211" s="12" t="str">
        <f>IF(I211&gt;=7500,"E",IF(I211&gt;=6800,"D",IF(I211&gt;=4200,"C",IF(I211&gt;=3000,"B",IF(I211&gt;=750,"A","Below Slab")))))</f>
        <v>C</v>
      </c>
      <c r="AB211" s="19" t="str">
        <f>IF(I211&gt;=7500,"Samsung front-load washing machine",IF(I211&gt;=6800,"Apple iPad",IF(I211&gt;=4200,"Robot Vacuum cleaner",IF(I211&gt;=3000,"Sony - sound bar, woofer and speakers",IF(I211&gt;=750,"Foot massager","Not eligible")))))</f>
        <v>Robot Vacuum cleaner</v>
      </c>
    </row>
    <row r="212" spans="1:28" customFormat="1">
      <c r="A212" s="1" t="s">
        <v>633</v>
      </c>
      <c r="B212" s="21" t="s">
        <v>634</v>
      </c>
      <c r="C212" s="21" t="s">
        <v>63</v>
      </c>
      <c r="D212" s="1" t="s">
        <v>26</v>
      </c>
      <c r="E212" s="1" t="s">
        <v>614</v>
      </c>
      <c r="F212" s="1" t="s">
        <v>115</v>
      </c>
      <c r="G212" s="1" t="s">
        <v>9</v>
      </c>
      <c r="H212" s="23">
        <v>39.03</v>
      </c>
      <c r="I212" s="23">
        <v>975.75</v>
      </c>
      <c r="J212" s="2" t="str">
        <f t="shared" si="6"/>
        <v/>
      </c>
      <c r="K212" s="2" t="str">
        <f>IF(J212="","",I212-J212)</f>
        <v/>
      </c>
      <c r="L212" s="1" t="s">
        <v>73</v>
      </c>
      <c r="M212" s="12"/>
      <c r="N212" s="12"/>
      <c r="O212" s="12"/>
      <c r="P212" s="12"/>
      <c r="Q212" s="12"/>
      <c r="R212" s="12"/>
      <c r="S212" s="12"/>
      <c r="T212" s="12">
        <f>IF(M212="",0,INDEX(Sheet2!A$2:A$6,MATCH(M212,Sheet2!C$2:C$6,0)))</f>
        <v>0</v>
      </c>
      <c r="U212" s="12">
        <f>IF(N212="",0,INDEX(Sheet2!A$2:A$6,MATCH(N212,Sheet2!C$2:C$6,0)))</f>
        <v>0</v>
      </c>
      <c r="V212" s="12">
        <f>IF(O212="",0,INDEX(Sheet2!A$2:A$6,MATCH(O212,Sheet2!C$2:C$6,0)))</f>
        <v>0</v>
      </c>
      <c r="W212" s="12">
        <f>IF(P212="",0,INDEX(Sheet2!A$2:A$6,MATCH(P212,Sheet2!C$2:C$6,0)))</f>
        <v>0</v>
      </c>
      <c r="X212" s="12">
        <f>IF(Q212="",0,INDEX(Sheet2!A$2:A$6,MATCH(Q212,Sheet2!C$2:C$6,0)))</f>
        <v>0</v>
      </c>
      <c r="Y212" s="12">
        <f>IF(R212="",0,INDEX(Sheet2!A$2:A$6,MATCH(R212,Sheet2!C$2:C$6,0)))</f>
        <v>0</v>
      </c>
      <c r="Z212" s="12">
        <f t="shared" si="7"/>
        <v>0</v>
      </c>
      <c r="AA212" s="12" t="str">
        <f>IF(I212&gt;=7500,"E",IF(I212&gt;=6800,"D",IF(I212&gt;=4200,"C",IF(I212&gt;=3000,"B",IF(I212&gt;=750,"A","Below Slab")))))</f>
        <v>A</v>
      </c>
      <c r="AB212" s="19" t="str">
        <f>IF(I212&gt;=7500,"Samsung front-load washing machine",IF(I212&gt;=6800,"Apple iPad",IF(I212&gt;=4200,"Robot Vacuum cleaner",IF(I212&gt;=3000,"Sony - sound bar, woofer and speakers",IF(I212&gt;=750,"Foot massager","Not eligible")))))</f>
        <v>Foot massager</v>
      </c>
    </row>
    <row r="213" spans="1:28" customFormat="1">
      <c r="A213" s="1" t="s">
        <v>635</v>
      </c>
      <c r="B213" s="21" t="s">
        <v>636</v>
      </c>
      <c r="C213" s="21" t="s">
        <v>63</v>
      </c>
      <c r="D213" s="1" t="s">
        <v>26</v>
      </c>
      <c r="E213" s="1" t="s">
        <v>528</v>
      </c>
      <c r="F213" s="1" t="s">
        <v>115</v>
      </c>
      <c r="G213" s="1" t="s">
        <v>9</v>
      </c>
      <c r="H213" s="23">
        <v>46.36</v>
      </c>
      <c r="I213" s="23">
        <v>1159</v>
      </c>
      <c r="J213" s="2" t="str">
        <f t="shared" si="6"/>
        <v/>
      </c>
      <c r="K213" s="2" t="str">
        <f>IF(J213="","",I213-J213)</f>
        <v/>
      </c>
      <c r="L213" s="1" t="s">
        <v>73</v>
      </c>
      <c r="M213" s="12"/>
      <c r="N213" s="12"/>
      <c r="O213" s="12"/>
      <c r="P213" s="12"/>
      <c r="Q213" s="12"/>
      <c r="R213" s="12"/>
      <c r="S213" s="12"/>
      <c r="T213" s="12">
        <f>IF(M213="",0,INDEX(Sheet2!A$2:A$6,MATCH(M213,Sheet2!C$2:C$6,0)))</f>
        <v>0</v>
      </c>
      <c r="U213" s="12">
        <f>IF(N213="",0,INDEX(Sheet2!A$2:A$6,MATCH(N213,Sheet2!C$2:C$6,0)))</f>
        <v>0</v>
      </c>
      <c r="V213" s="12">
        <f>IF(O213="",0,INDEX(Sheet2!A$2:A$6,MATCH(O213,Sheet2!C$2:C$6,0)))</f>
        <v>0</v>
      </c>
      <c r="W213" s="12">
        <f>IF(P213="",0,INDEX(Sheet2!A$2:A$6,MATCH(P213,Sheet2!C$2:C$6,0)))</f>
        <v>0</v>
      </c>
      <c r="X213" s="12">
        <f>IF(Q213="",0,INDEX(Sheet2!A$2:A$6,MATCH(Q213,Sheet2!C$2:C$6,0)))</f>
        <v>0</v>
      </c>
      <c r="Y213" s="12">
        <f>IF(R213="",0,INDEX(Sheet2!A$2:A$6,MATCH(R213,Sheet2!C$2:C$6,0)))</f>
        <v>0</v>
      </c>
      <c r="Z213" s="12">
        <f t="shared" si="7"/>
        <v>0</v>
      </c>
      <c r="AA213" s="12" t="str">
        <f>IF(I213&gt;=7500,"E",IF(I213&gt;=6800,"D",IF(I213&gt;=4200,"C",IF(I213&gt;=3000,"B",IF(I213&gt;=750,"A","Below Slab")))))</f>
        <v>A</v>
      </c>
      <c r="AB213" s="19" t="str">
        <f>IF(I213&gt;=7500,"Samsung front-load washing machine",IF(I213&gt;=6800,"Apple iPad",IF(I213&gt;=4200,"Robot Vacuum cleaner",IF(I213&gt;=3000,"Sony - sound bar, woofer and speakers",IF(I213&gt;=750,"Foot massager","Not eligible")))))</f>
        <v>Foot massager</v>
      </c>
    </row>
    <row r="214" spans="1:28" customFormat="1">
      <c r="A214" s="1" t="s">
        <v>637</v>
      </c>
      <c r="B214" s="21" t="s">
        <v>638</v>
      </c>
      <c r="C214" s="21" t="s">
        <v>34</v>
      </c>
      <c r="D214" s="1" t="s">
        <v>27</v>
      </c>
      <c r="E214" s="1" t="s">
        <v>639</v>
      </c>
      <c r="F214" s="1" t="s">
        <v>115</v>
      </c>
      <c r="G214" s="1" t="s">
        <v>9</v>
      </c>
      <c r="H214" s="23">
        <v>219.07</v>
      </c>
      <c r="I214" s="23">
        <v>8215.125</v>
      </c>
      <c r="J214" s="2" t="str">
        <f t="shared" si="6"/>
        <v/>
      </c>
      <c r="K214" s="2" t="str">
        <f>IF(J214="","",I214-J214)</f>
        <v/>
      </c>
      <c r="L214" s="1" t="s">
        <v>81</v>
      </c>
      <c r="M214" s="12"/>
      <c r="N214" s="12"/>
      <c r="O214" s="12"/>
      <c r="P214" s="12"/>
      <c r="Q214" s="12"/>
      <c r="R214" s="12"/>
      <c r="S214" s="12"/>
      <c r="T214" s="12">
        <f>IF(M214="",0,INDEX(Sheet2!A$2:A$6,MATCH(M214,Sheet2!C$2:C$6,0)))</f>
        <v>0</v>
      </c>
      <c r="U214" s="12">
        <f>IF(N214="",0,INDEX(Sheet2!A$2:A$6,MATCH(N214,Sheet2!C$2:C$6,0)))</f>
        <v>0</v>
      </c>
      <c r="V214" s="12">
        <f>IF(O214="",0,INDEX(Sheet2!A$2:A$6,MATCH(O214,Sheet2!C$2:C$6,0)))</f>
        <v>0</v>
      </c>
      <c r="W214" s="12">
        <f>IF(P214="",0,INDEX(Sheet2!A$2:A$6,MATCH(P214,Sheet2!C$2:C$6,0)))</f>
        <v>0</v>
      </c>
      <c r="X214" s="12">
        <f>IF(Q214="",0,INDEX(Sheet2!A$2:A$6,MATCH(Q214,Sheet2!C$2:C$6,0)))</f>
        <v>0</v>
      </c>
      <c r="Y214" s="12">
        <f>IF(R214="",0,INDEX(Sheet2!A$2:A$6,MATCH(R214,Sheet2!C$2:C$6,0)))</f>
        <v>0</v>
      </c>
      <c r="Z214" s="12">
        <f t="shared" si="7"/>
        <v>0</v>
      </c>
      <c r="AA214" s="12" t="str">
        <f>IF(I214&gt;=7500,"E",IF(I214&gt;=6800,"D",IF(I214&gt;=4200,"C",IF(I214&gt;=3000,"B",IF(I214&gt;=750,"A","Below Slab")))))</f>
        <v>E</v>
      </c>
      <c r="AB214" s="19" t="str">
        <f>IF(I214&gt;=7500,"Samsung front-load washing machine",IF(I214&gt;=6800,"Apple iPad",IF(I214&gt;=4200,"Robot Vacuum cleaner",IF(I214&gt;=3000,"Sony - sound bar, woofer and speakers",IF(I214&gt;=750,"Foot massager","Not eligible")))))</f>
        <v>Samsung front-load washing machine</v>
      </c>
    </row>
    <row r="215" spans="1:28" customFormat="1">
      <c r="A215" s="1" t="s">
        <v>640</v>
      </c>
      <c r="B215" s="21" t="s">
        <v>641</v>
      </c>
      <c r="C215" s="21" t="s">
        <v>34</v>
      </c>
      <c r="D215" s="1" t="s">
        <v>27</v>
      </c>
      <c r="E215" s="1" t="s">
        <v>642</v>
      </c>
      <c r="F215" s="1" t="s">
        <v>115</v>
      </c>
      <c r="G215" s="1" t="s">
        <v>9</v>
      </c>
      <c r="H215" s="23">
        <v>231.28999999999996</v>
      </c>
      <c r="I215" s="23">
        <v>8673.3749999999982</v>
      </c>
      <c r="J215" s="2" t="str">
        <f t="shared" si="6"/>
        <v/>
      </c>
      <c r="K215" s="2" t="str">
        <f>IF(J215="","",I215-J215)</f>
        <v/>
      </c>
      <c r="L215" s="1" t="s">
        <v>81</v>
      </c>
      <c r="M215" s="12"/>
      <c r="N215" s="12"/>
      <c r="O215" s="12"/>
      <c r="P215" s="12"/>
      <c r="Q215" s="12"/>
      <c r="R215" s="12"/>
      <c r="S215" s="12"/>
      <c r="T215" s="12">
        <f>IF(M215="",0,INDEX(Sheet2!A$2:A$6,MATCH(M215,Sheet2!C$2:C$6,0)))</f>
        <v>0</v>
      </c>
      <c r="U215" s="12">
        <f>IF(N215="",0,INDEX(Sheet2!A$2:A$6,MATCH(N215,Sheet2!C$2:C$6,0)))</f>
        <v>0</v>
      </c>
      <c r="V215" s="12">
        <f>IF(O215="",0,INDEX(Sheet2!A$2:A$6,MATCH(O215,Sheet2!C$2:C$6,0)))</f>
        <v>0</v>
      </c>
      <c r="W215" s="12">
        <f>IF(P215="",0,INDEX(Sheet2!A$2:A$6,MATCH(P215,Sheet2!C$2:C$6,0)))</f>
        <v>0</v>
      </c>
      <c r="X215" s="12">
        <f>IF(Q215="",0,INDEX(Sheet2!A$2:A$6,MATCH(Q215,Sheet2!C$2:C$6,0)))</f>
        <v>0</v>
      </c>
      <c r="Y215" s="12">
        <f>IF(R215="",0,INDEX(Sheet2!A$2:A$6,MATCH(R215,Sheet2!C$2:C$6,0)))</f>
        <v>0</v>
      </c>
      <c r="Z215" s="12">
        <f t="shared" si="7"/>
        <v>0</v>
      </c>
      <c r="AA215" s="12" t="str">
        <f>IF(I215&gt;=7500,"E",IF(I215&gt;=6800,"D",IF(I215&gt;=4200,"C",IF(I215&gt;=3000,"B",IF(I215&gt;=750,"A","Below Slab")))))</f>
        <v>E</v>
      </c>
      <c r="AB215" s="19" t="str">
        <f>IF(I215&gt;=7500,"Samsung front-load washing machine",IF(I215&gt;=6800,"Apple iPad",IF(I215&gt;=4200,"Robot Vacuum cleaner",IF(I215&gt;=3000,"Sony - sound bar, woofer and speakers",IF(I215&gt;=750,"Foot massager","Not eligible")))))</f>
        <v>Samsung front-load washing machine</v>
      </c>
    </row>
    <row r="216" spans="1:28" customFormat="1">
      <c r="A216" s="1" t="s">
        <v>643</v>
      </c>
      <c r="B216" s="21" t="s">
        <v>644</v>
      </c>
      <c r="C216" s="21" t="s">
        <v>34</v>
      </c>
      <c r="D216" s="1" t="s">
        <v>27</v>
      </c>
      <c r="E216" s="1" t="s">
        <v>645</v>
      </c>
      <c r="F216" s="1" t="s">
        <v>115</v>
      </c>
      <c r="G216" s="1" t="s">
        <v>9</v>
      </c>
      <c r="H216" s="23">
        <v>59.39</v>
      </c>
      <c r="I216" s="23">
        <v>1633.2250000000001</v>
      </c>
      <c r="J216" s="2" t="str">
        <f t="shared" si="6"/>
        <v/>
      </c>
      <c r="K216" s="2" t="str">
        <f>IF(J216="","",I216-J216)</f>
        <v/>
      </c>
      <c r="L216" s="1" t="s">
        <v>73</v>
      </c>
      <c r="M216" s="12"/>
      <c r="N216" s="12"/>
      <c r="O216" s="12"/>
      <c r="P216" s="12"/>
      <c r="Q216" s="12"/>
      <c r="R216" s="12"/>
      <c r="S216" s="12"/>
      <c r="T216" s="12">
        <f>IF(M216="",0,INDEX(Sheet2!A$2:A$6,MATCH(M216,Sheet2!C$2:C$6,0)))</f>
        <v>0</v>
      </c>
      <c r="U216" s="12">
        <f>IF(N216="",0,INDEX(Sheet2!A$2:A$6,MATCH(N216,Sheet2!C$2:C$6,0)))</f>
        <v>0</v>
      </c>
      <c r="V216" s="12">
        <f>IF(O216="",0,INDEX(Sheet2!A$2:A$6,MATCH(O216,Sheet2!C$2:C$6,0)))</f>
        <v>0</v>
      </c>
      <c r="W216" s="12">
        <f>IF(P216="",0,INDEX(Sheet2!A$2:A$6,MATCH(P216,Sheet2!C$2:C$6,0)))</f>
        <v>0</v>
      </c>
      <c r="X216" s="12">
        <f>IF(Q216="",0,INDEX(Sheet2!A$2:A$6,MATCH(Q216,Sheet2!C$2:C$6,0)))</f>
        <v>0</v>
      </c>
      <c r="Y216" s="12">
        <f>IF(R216="",0,INDEX(Sheet2!A$2:A$6,MATCH(R216,Sheet2!C$2:C$6,0)))</f>
        <v>0</v>
      </c>
      <c r="Z216" s="12">
        <f t="shared" si="7"/>
        <v>0</v>
      </c>
      <c r="AA216" s="12" t="str">
        <f>IF(I216&gt;=7500,"E",IF(I216&gt;=6800,"D",IF(I216&gt;=4200,"C",IF(I216&gt;=3000,"B",IF(I216&gt;=750,"A","Below Slab")))))</f>
        <v>A</v>
      </c>
      <c r="AB216" s="19" t="str">
        <f>IF(I216&gt;=7500,"Samsung front-load washing machine",IF(I216&gt;=6800,"Apple iPad",IF(I216&gt;=4200,"Robot Vacuum cleaner",IF(I216&gt;=3000,"Sony - sound bar, woofer and speakers",IF(I216&gt;=750,"Foot massager","Not eligible")))))</f>
        <v>Foot massager</v>
      </c>
    </row>
    <row r="217" spans="1:28" customFormat="1">
      <c r="A217" s="1" t="s">
        <v>646</v>
      </c>
      <c r="B217" s="21" t="s">
        <v>647</v>
      </c>
      <c r="C217" s="21" t="s">
        <v>34</v>
      </c>
      <c r="D217" s="1" t="s">
        <v>27</v>
      </c>
      <c r="E217" s="1" t="s">
        <v>648</v>
      </c>
      <c r="F217" s="1" t="s">
        <v>115</v>
      </c>
      <c r="G217" s="1" t="s">
        <v>9</v>
      </c>
      <c r="H217" s="23">
        <v>114.10999999999999</v>
      </c>
      <c r="I217" s="23">
        <v>3423.2999999999993</v>
      </c>
      <c r="J217" s="2" t="str">
        <f t="shared" si="6"/>
        <v/>
      </c>
      <c r="K217" s="2" t="str">
        <f>IF(J217="","",I217-J217)</f>
        <v/>
      </c>
      <c r="L217" s="1" t="s">
        <v>134</v>
      </c>
      <c r="M217" s="12"/>
      <c r="N217" s="12"/>
      <c r="O217" s="12"/>
      <c r="P217" s="12"/>
      <c r="Q217" s="12"/>
      <c r="R217" s="12"/>
      <c r="S217" s="12"/>
      <c r="T217" s="12">
        <f>IF(M217="",0,INDEX(Sheet2!A$2:A$6,MATCH(M217,Sheet2!C$2:C$6,0)))</f>
        <v>0</v>
      </c>
      <c r="U217" s="12">
        <f>IF(N217="",0,INDEX(Sheet2!A$2:A$6,MATCH(N217,Sheet2!C$2:C$6,0)))</f>
        <v>0</v>
      </c>
      <c r="V217" s="12">
        <f>IF(O217="",0,INDEX(Sheet2!A$2:A$6,MATCH(O217,Sheet2!C$2:C$6,0)))</f>
        <v>0</v>
      </c>
      <c r="W217" s="12">
        <f>IF(P217="",0,INDEX(Sheet2!A$2:A$6,MATCH(P217,Sheet2!C$2:C$6,0)))</f>
        <v>0</v>
      </c>
      <c r="X217" s="12">
        <f>IF(Q217="",0,INDEX(Sheet2!A$2:A$6,MATCH(Q217,Sheet2!C$2:C$6,0)))</f>
        <v>0</v>
      </c>
      <c r="Y217" s="12">
        <f>IF(R217="",0,INDEX(Sheet2!A$2:A$6,MATCH(R217,Sheet2!C$2:C$6,0)))</f>
        <v>0</v>
      </c>
      <c r="Z217" s="12">
        <f t="shared" si="7"/>
        <v>0</v>
      </c>
      <c r="AA217" s="12" t="str">
        <f>IF(I217&gt;=7500,"E",IF(I217&gt;=6800,"D",IF(I217&gt;=4200,"C",IF(I217&gt;=3000,"B",IF(I217&gt;=750,"A","Below Slab")))))</f>
        <v>B</v>
      </c>
      <c r="AB217" s="19" t="str">
        <f>IF(I217&gt;=7500,"Samsung front-load washing machine",IF(I217&gt;=6800,"Apple iPad",IF(I217&gt;=4200,"Robot Vacuum cleaner",IF(I217&gt;=3000,"Sony - sound bar, woofer and speakers",IF(I217&gt;=750,"Foot massager","Not eligible")))))</f>
        <v>Sony - sound bar, woofer and speakers</v>
      </c>
    </row>
    <row r="218" spans="1:28" customFormat="1">
      <c r="A218" s="1" t="s">
        <v>649</v>
      </c>
      <c r="B218" s="21" t="s">
        <v>650</v>
      </c>
      <c r="C218" s="21" t="s">
        <v>34</v>
      </c>
      <c r="D218" s="1" t="s">
        <v>27</v>
      </c>
      <c r="E218" s="1" t="s">
        <v>651</v>
      </c>
      <c r="F218" s="1" t="s">
        <v>115</v>
      </c>
      <c r="G218" s="1" t="s">
        <v>9</v>
      </c>
      <c r="H218" s="23">
        <v>80.22999999999999</v>
      </c>
      <c r="I218" s="23">
        <v>2206.3249999999998</v>
      </c>
      <c r="J218" s="2" t="str">
        <f t="shared" si="6"/>
        <v/>
      </c>
      <c r="K218" s="2" t="str">
        <f>IF(J218="","",I218-J218)</f>
        <v/>
      </c>
      <c r="L218" s="1" t="s">
        <v>73</v>
      </c>
      <c r="M218" s="12"/>
      <c r="N218" s="12"/>
      <c r="O218" s="12"/>
      <c r="P218" s="12"/>
      <c r="Q218" s="12"/>
      <c r="R218" s="12"/>
      <c r="S218" s="12"/>
      <c r="T218" s="12">
        <f>IF(M218="",0,INDEX(Sheet2!A$2:A$6,MATCH(M218,Sheet2!C$2:C$6,0)))</f>
        <v>0</v>
      </c>
      <c r="U218" s="12">
        <f>IF(N218="",0,INDEX(Sheet2!A$2:A$6,MATCH(N218,Sheet2!C$2:C$6,0)))</f>
        <v>0</v>
      </c>
      <c r="V218" s="12">
        <f>IF(O218="",0,INDEX(Sheet2!A$2:A$6,MATCH(O218,Sheet2!C$2:C$6,0)))</f>
        <v>0</v>
      </c>
      <c r="W218" s="12">
        <f>IF(P218="",0,INDEX(Sheet2!A$2:A$6,MATCH(P218,Sheet2!C$2:C$6,0)))</f>
        <v>0</v>
      </c>
      <c r="X218" s="12">
        <f>IF(Q218="",0,INDEX(Sheet2!A$2:A$6,MATCH(Q218,Sheet2!C$2:C$6,0)))</f>
        <v>0</v>
      </c>
      <c r="Y218" s="12">
        <f>IF(R218="",0,INDEX(Sheet2!A$2:A$6,MATCH(R218,Sheet2!C$2:C$6,0)))</f>
        <v>0</v>
      </c>
      <c r="Z218" s="12">
        <f t="shared" si="7"/>
        <v>0</v>
      </c>
      <c r="AA218" s="12" t="str">
        <f>IF(I218&gt;=7500,"E",IF(I218&gt;=6800,"D",IF(I218&gt;=4200,"C",IF(I218&gt;=3000,"B",IF(I218&gt;=750,"A","Below Slab")))))</f>
        <v>A</v>
      </c>
      <c r="AB218" s="19" t="str">
        <f>IF(I218&gt;=7500,"Samsung front-load washing machine",IF(I218&gt;=6800,"Apple iPad",IF(I218&gt;=4200,"Robot Vacuum cleaner",IF(I218&gt;=3000,"Sony - sound bar, woofer and speakers",IF(I218&gt;=750,"Foot massager","Not eligible")))))</f>
        <v>Foot massager</v>
      </c>
    </row>
    <row r="219" spans="1:28" customFormat="1">
      <c r="A219" s="1" t="s">
        <v>652</v>
      </c>
      <c r="B219" s="21" t="s">
        <v>653</v>
      </c>
      <c r="C219" s="21" t="s">
        <v>34</v>
      </c>
      <c r="D219" s="1" t="s">
        <v>27</v>
      </c>
      <c r="E219" s="1" t="s">
        <v>651</v>
      </c>
      <c r="F219" s="1" t="s">
        <v>115</v>
      </c>
      <c r="G219" s="1" t="s">
        <v>9</v>
      </c>
      <c r="H219" s="23">
        <v>30.04</v>
      </c>
      <c r="I219" s="23">
        <v>751</v>
      </c>
      <c r="J219" s="2" t="str">
        <f t="shared" si="6"/>
        <v/>
      </c>
      <c r="K219" s="2" t="str">
        <f>IF(J219="","",I219-J219)</f>
        <v/>
      </c>
      <c r="L219" s="1" t="s">
        <v>73</v>
      </c>
      <c r="M219" s="12"/>
      <c r="N219" s="12"/>
      <c r="O219" s="12"/>
      <c r="P219" s="12"/>
      <c r="Q219" s="12"/>
      <c r="R219" s="12"/>
      <c r="S219" s="12"/>
      <c r="T219" s="12">
        <f>IF(M219="",0,INDEX(Sheet2!A$2:A$6,MATCH(M219,Sheet2!C$2:C$6,0)))</f>
        <v>0</v>
      </c>
      <c r="U219" s="12">
        <f>IF(N219="",0,INDEX(Sheet2!A$2:A$6,MATCH(N219,Sheet2!C$2:C$6,0)))</f>
        <v>0</v>
      </c>
      <c r="V219" s="12">
        <f>IF(O219="",0,INDEX(Sheet2!A$2:A$6,MATCH(O219,Sheet2!C$2:C$6,0)))</f>
        <v>0</v>
      </c>
      <c r="W219" s="12">
        <f>IF(P219="",0,INDEX(Sheet2!A$2:A$6,MATCH(P219,Sheet2!C$2:C$6,0)))</f>
        <v>0</v>
      </c>
      <c r="X219" s="12">
        <f>IF(Q219="",0,INDEX(Sheet2!A$2:A$6,MATCH(Q219,Sheet2!C$2:C$6,0)))</f>
        <v>0</v>
      </c>
      <c r="Y219" s="12">
        <f>IF(R219="",0,INDEX(Sheet2!A$2:A$6,MATCH(R219,Sheet2!C$2:C$6,0)))</f>
        <v>0</v>
      </c>
      <c r="Z219" s="12">
        <f t="shared" si="7"/>
        <v>0</v>
      </c>
      <c r="AA219" s="12" t="str">
        <f>IF(I219&gt;=7500,"E",IF(I219&gt;=6800,"D",IF(I219&gt;=4200,"C",IF(I219&gt;=3000,"B",IF(I219&gt;=750,"A","Below Slab")))))</f>
        <v>A</v>
      </c>
      <c r="AB219" s="19" t="str">
        <f>IF(I219&gt;=7500,"Samsung front-load washing machine",IF(I219&gt;=6800,"Apple iPad",IF(I219&gt;=4200,"Robot Vacuum cleaner",IF(I219&gt;=3000,"Sony - sound bar, woofer and speakers",IF(I219&gt;=750,"Foot massager","Not eligible")))))</f>
        <v>Foot massager</v>
      </c>
    </row>
    <row r="220" spans="1:28" customFormat="1">
      <c r="A220" s="1" t="s">
        <v>654</v>
      </c>
      <c r="B220" s="21" t="s">
        <v>655</v>
      </c>
      <c r="C220" s="21" t="s">
        <v>34</v>
      </c>
      <c r="D220" s="1" t="s">
        <v>27</v>
      </c>
      <c r="E220" s="1" t="s">
        <v>651</v>
      </c>
      <c r="F220" s="1" t="s">
        <v>115</v>
      </c>
      <c r="G220" s="1" t="s">
        <v>9</v>
      </c>
      <c r="H220" s="23">
        <v>34.01</v>
      </c>
      <c r="I220" s="23">
        <v>850.25</v>
      </c>
      <c r="J220" s="2" t="str">
        <f t="shared" si="6"/>
        <v/>
      </c>
      <c r="K220" s="2" t="str">
        <f>IF(J220="","",I220-J220)</f>
        <v/>
      </c>
      <c r="L220" s="1" t="s">
        <v>73</v>
      </c>
      <c r="M220" s="12"/>
      <c r="N220" s="12"/>
      <c r="O220" s="12"/>
      <c r="P220" s="12"/>
      <c r="Q220" s="12"/>
      <c r="R220" s="12"/>
      <c r="S220" s="12"/>
      <c r="T220" s="12">
        <f>IF(M220="",0,INDEX(Sheet2!A$2:A$6,MATCH(M220,Sheet2!C$2:C$6,0)))</f>
        <v>0</v>
      </c>
      <c r="U220" s="12">
        <f>IF(N220="",0,INDEX(Sheet2!A$2:A$6,MATCH(N220,Sheet2!C$2:C$6,0)))</f>
        <v>0</v>
      </c>
      <c r="V220" s="12">
        <f>IF(O220="",0,INDEX(Sheet2!A$2:A$6,MATCH(O220,Sheet2!C$2:C$6,0)))</f>
        <v>0</v>
      </c>
      <c r="W220" s="12">
        <f>IF(P220="",0,INDEX(Sheet2!A$2:A$6,MATCH(P220,Sheet2!C$2:C$6,0)))</f>
        <v>0</v>
      </c>
      <c r="X220" s="12">
        <f>IF(Q220="",0,INDEX(Sheet2!A$2:A$6,MATCH(Q220,Sheet2!C$2:C$6,0)))</f>
        <v>0</v>
      </c>
      <c r="Y220" s="12">
        <f>IF(R220="",0,INDEX(Sheet2!A$2:A$6,MATCH(R220,Sheet2!C$2:C$6,0)))</f>
        <v>0</v>
      </c>
      <c r="Z220" s="12">
        <f t="shared" si="7"/>
        <v>0</v>
      </c>
      <c r="AA220" s="12" t="str">
        <f>IF(I220&gt;=7500,"E",IF(I220&gt;=6800,"D",IF(I220&gt;=4200,"C",IF(I220&gt;=3000,"B",IF(I220&gt;=750,"A","Below Slab")))))</f>
        <v>A</v>
      </c>
      <c r="AB220" s="19" t="str">
        <f>IF(I220&gt;=7500,"Samsung front-load washing machine",IF(I220&gt;=6800,"Apple iPad",IF(I220&gt;=4200,"Robot Vacuum cleaner",IF(I220&gt;=3000,"Sony - sound bar, woofer and speakers",IF(I220&gt;=750,"Foot massager","Not eligible")))))</f>
        <v>Foot massager</v>
      </c>
    </row>
    <row r="221" spans="1:28" customFormat="1">
      <c r="A221" s="1" t="s">
        <v>656</v>
      </c>
      <c r="B221" s="21" t="s">
        <v>657</v>
      </c>
      <c r="C221" s="21" t="s">
        <v>34</v>
      </c>
      <c r="D221" s="1" t="s">
        <v>27</v>
      </c>
      <c r="E221" s="1" t="s">
        <v>639</v>
      </c>
      <c r="F221" s="1" t="s">
        <v>115</v>
      </c>
      <c r="G221" s="1" t="s">
        <v>9</v>
      </c>
      <c r="H221" s="23">
        <v>122.05000000000001</v>
      </c>
      <c r="I221" s="23">
        <v>3661.5000000000005</v>
      </c>
      <c r="J221" s="2" t="str">
        <f t="shared" si="6"/>
        <v/>
      </c>
      <c r="K221" s="2" t="str">
        <f>IF(J221="","",I221-J221)</f>
        <v/>
      </c>
      <c r="L221" s="1" t="s">
        <v>134</v>
      </c>
      <c r="M221" s="12"/>
      <c r="N221" s="12"/>
      <c r="O221" s="12"/>
      <c r="P221" s="12"/>
      <c r="Q221" s="12"/>
      <c r="R221" s="12"/>
      <c r="S221" s="12"/>
      <c r="T221" s="12">
        <f>IF(M221="",0,INDEX(Sheet2!A$2:A$6,MATCH(M221,Sheet2!C$2:C$6,0)))</f>
        <v>0</v>
      </c>
      <c r="U221" s="12">
        <f>IF(N221="",0,INDEX(Sheet2!A$2:A$6,MATCH(N221,Sheet2!C$2:C$6,0)))</f>
        <v>0</v>
      </c>
      <c r="V221" s="12">
        <f>IF(O221="",0,INDEX(Sheet2!A$2:A$6,MATCH(O221,Sheet2!C$2:C$6,0)))</f>
        <v>0</v>
      </c>
      <c r="W221" s="12">
        <f>IF(P221="",0,INDEX(Sheet2!A$2:A$6,MATCH(P221,Sheet2!C$2:C$6,0)))</f>
        <v>0</v>
      </c>
      <c r="X221" s="12">
        <f>IF(Q221="",0,INDEX(Sheet2!A$2:A$6,MATCH(Q221,Sheet2!C$2:C$6,0)))</f>
        <v>0</v>
      </c>
      <c r="Y221" s="12">
        <f>IF(R221="",0,INDEX(Sheet2!A$2:A$6,MATCH(R221,Sheet2!C$2:C$6,0)))</f>
        <v>0</v>
      </c>
      <c r="Z221" s="12">
        <f t="shared" si="7"/>
        <v>0</v>
      </c>
      <c r="AA221" s="12" t="str">
        <f>IF(I221&gt;=7500,"E",IF(I221&gt;=6800,"D",IF(I221&gt;=4200,"C",IF(I221&gt;=3000,"B",IF(I221&gt;=750,"A","Below Slab")))))</f>
        <v>B</v>
      </c>
      <c r="AB221" s="19" t="str">
        <f>IF(I221&gt;=7500,"Samsung front-load washing machine",IF(I221&gt;=6800,"Apple iPad",IF(I221&gt;=4200,"Robot Vacuum cleaner",IF(I221&gt;=3000,"Sony - sound bar, woofer and speakers",IF(I221&gt;=750,"Foot massager","Not eligible")))))</f>
        <v>Sony - sound bar, woofer and speakers</v>
      </c>
    </row>
    <row r="222" spans="1:28" customFormat="1">
      <c r="A222" s="1" t="s">
        <v>658</v>
      </c>
      <c r="B222" s="21" t="s">
        <v>659</v>
      </c>
      <c r="C222" s="21" t="s">
        <v>34</v>
      </c>
      <c r="D222" s="1" t="s">
        <v>27</v>
      </c>
      <c r="E222" s="1" t="s">
        <v>642</v>
      </c>
      <c r="F222" s="1" t="s">
        <v>115</v>
      </c>
      <c r="G222" s="1" t="s">
        <v>9</v>
      </c>
      <c r="H222" s="23">
        <v>65.150000000000006</v>
      </c>
      <c r="I222" s="23">
        <v>1791.6250000000005</v>
      </c>
      <c r="J222" s="2" t="str">
        <f t="shared" si="6"/>
        <v/>
      </c>
      <c r="K222" s="2" t="str">
        <f>IF(J222="","",I222-J222)</f>
        <v/>
      </c>
      <c r="L222" s="1" t="s">
        <v>73</v>
      </c>
      <c r="M222" s="12"/>
      <c r="N222" s="12"/>
      <c r="O222" s="12"/>
      <c r="P222" s="12"/>
      <c r="Q222" s="12"/>
      <c r="R222" s="12"/>
      <c r="S222" s="12"/>
      <c r="T222" s="12">
        <f>IF(M222="",0,INDEX(Sheet2!A$2:A$6,MATCH(M222,Sheet2!C$2:C$6,0)))</f>
        <v>0</v>
      </c>
      <c r="U222" s="12">
        <f>IF(N222="",0,INDEX(Sheet2!A$2:A$6,MATCH(N222,Sheet2!C$2:C$6,0)))</f>
        <v>0</v>
      </c>
      <c r="V222" s="12">
        <f>IF(O222="",0,INDEX(Sheet2!A$2:A$6,MATCH(O222,Sheet2!C$2:C$6,0)))</f>
        <v>0</v>
      </c>
      <c r="W222" s="12">
        <f>IF(P222="",0,INDEX(Sheet2!A$2:A$6,MATCH(P222,Sheet2!C$2:C$6,0)))</f>
        <v>0</v>
      </c>
      <c r="X222" s="12">
        <f>IF(Q222="",0,INDEX(Sheet2!A$2:A$6,MATCH(Q222,Sheet2!C$2:C$6,0)))</f>
        <v>0</v>
      </c>
      <c r="Y222" s="12">
        <f>IF(R222="",0,INDEX(Sheet2!A$2:A$6,MATCH(R222,Sheet2!C$2:C$6,0)))</f>
        <v>0</v>
      </c>
      <c r="Z222" s="12">
        <f t="shared" si="7"/>
        <v>0</v>
      </c>
      <c r="AA222" s="12" t="str">
        <f>IF(I222&gt;=7500,"E",IF(I222&gt;=6800,"D",IF(I222&gt;=4200,"C",IF(I222&gt;=3000,"B",IF(I222&gt;=750,"A","Below Slab")))))</f>
        <v>A</v>
      </c>
      <c r="AB222" s="19" t="str">
        <f>IF(I222&gt;=7500,"Samsung front-load washing machine",IF(I222&gt;=6800,"Apple iPad",IF(I222&gt;=4200,"Robot Vacuum cleaner",IF(I222&gt;=3000,"Sony - sound bar, woofer and speakers",IF(I222&gt;=750,"Foot massager","Not eligible")))))</f>
        <v>Foot massager</v>
      </c>
    </row>
    <row r="223" spans="1:28" customFormat="1">
      <c r="A223" s="1" t="s">
        <v>660</v>
      </c>
      <c r="B223" s="21" t="s">
        <v>661</v>
      </c>
      <c r="C223" s="21" t="s">
        <v>34</v>
      </c>
      <c r="D223" s="1" t="s">
        <v>27</v>
      </c>
      <c r="E223" s="1" t="s">
        <v>642</v>
      </c>
      <c r="F223" s="1" t="s">
        <v>115</v>
      </c>
      <c r="G223" s="1" t="s">
        <v>9</v>
      </c>
      <c r="H223" s="23">
        <v>41.849999999999994</v>
      </c>
      <c r="I223" s="23">
        <v>1046.2499999999998</v>
      </c>
      <c r="J223" s="2" t="str">
        <f t="shared" si="6"/>
        <v/>
      </c>
      <c r="K223" s="2" t="str">
        <f>IF(J223="","",I223-J223)</f>
        <v/>
      </c>
      <c r="L223" s="1" t="s">
        <v>73</v>
      </c>
      <c r="M223" s="12"/>
      <c r="N223" s="12"/>
      <c r="O223" s="12"/>
      <c r="P223" s="12"/>
      <c r="Q223" s="12"/>
      <c r="R223" s="12"/>
      <c r="S223" s="12"/>
      <c r="T223" s="12">
        <f>IF(M223="",0,INDEX(Sheet2!A$2:A$6,MATCH(M223,Sheet2!C$2:C$6,0)))</f>
        <v>0</v>
      </c>
      <c r="U223" s="12">
        <f>IF(N223="",0,INDEX(Sheet2!A$2:A$6,MATCH(N223,Sheet2!C$2:C$6,0)))</f>
        <v>0</v>
      </c>
      <c r="V223" s="12">
        <f>IF(O223="",0,INDEX(Sheet2!A$2:A$6,MATCH(O223,Sheet2!C$2:C$6,0)))</f>
        <v>0</v>
      </c>
      <c r="W223" s="12">
        <f>IF(P223="",0,INDEX(Sheet2!A$2:A$6,MATCH(P223,Sheet2!C$2:C$6,0)))</f>
        <v>0</v>
      </c>
      <c r="X223" s="12">
        <f>IF(Q223="",0,INDEX(Sheet2!A$2:A$6,MATCH(Q223,Sheet2!C$2:C$6,0)))</f>
        <v>0</v>
      </c>
      <c r="Y223" s="12">
        <f>IF(R223="",0,INDEX(Sheet2!A$2:A$6,MATCH(R223,Sheet2!C$2:C$6,0)))</f>
        <v>0</v>
      </c>
      <c r="Z223" s="12">
        <f t="shared" si="7"/>
        <v>0</v>
      </c>
      <c r="AA223" s="12" t="str">
        <f>IF(I223&gt;=7500,"E",IF(I223&gt;=6800,"D",IF(I223&gt;=4200,"C",IF(I223&gt;=3000,"B",IF(I223&gt;=750,"A","Below Slab")))))</f>
        <v>A</v>
      </c>
      <c r="AB223" s="19" t="str">
        <f>IF(I223&gt;=7500,"Samsung front-load washing machine",IF(I223&gt;=6800,"Apple iPad",IF(I223&gt;=4200,"Robot Vacuum cleaner",IF(I223&gt;=3000,"Sony - sound bar, woofer and speakers",IF(I223&gt;=750,"Foot massager","Not eligible")))))</f>
        <v>Foot massager</v>
      </c>
    </row>
    <row r="224" spans="1:28" customFormat="1">
      <c r="A224" s="1" t="s">
        <v>662</v>
      </c>
      <c r="B224" s="21" t="s">
        <v>663</v>
      </c>
      <c r="C224" s="21" t="s">
        <v>34</v>
      </c>
      <c r="D224" s="1" t="s">
        <v>27</v>
      </c>
      <c r="E224" s="1" t="s">
        <v>642</v>
      </c>
      <c r="F224" s="1" t="s">
        <v>115</v>
      </c>
      <c r="G224" s="1" t="s">
        <v>9</v>
      </c>
      <c r="H224" s="23">
        <v>84.06</v>
      </c>
      <c r="I224" s="23">
        <v>2311.65</v>
      </c>
      <c r="J224" s="2" t="str">
        <f t="shared" si="6"/>
        <v/>
      </c>
      <c r="K224" s="2" t="str">
        <f>IF(J224="","",I224-J224)</f>
        <v/>
      </c>
      <c r="L224" s="1" t="s">
        <v>73</v>
      </c>
      <c r="M224" s="12"/>
      <c r="N224" s="12"/>
      <c r="O224" s="12"/>
      <c r="P224" s="12"/>
      <c r="Q224" s="12"/>
      <c r="R224" s="12"/>
      <c r="S224" s="12"/>
      <c r="T224" s="12">
        <f>IF(M224="",0,INDEX(Sheet2!A$2:A$6,MATCH(M224,Sheet2!C$2:C$6,0)))</f>
        <v>0</v>
      </c>
      <c r="U224" s="12">
        <f>IF(N224="",0,INDEX(Sheet2!A$2:A$6,MATCH(N224,Sheet2!C$2:C$6,0)))</f>
        <v>0</v>
      </c>
      <c r="V224" s="12">
        <f>IF(O224="",0,INDEX(Sheet2!A$2:A$6,MATCH(O224,Sheet2!C$2:C$6,0)))</f>
        <v>0</v>
      </c>
      <c r="W224" s="12">
        <f>IF(P224="",0,INDEX(Sheet2!A$2:A$6,MATCH(P224,Sheet2!C$2:C$6,0)))</f>
        <v>0</v>
      </c>
      <c r="X224" s="12">
        <f>IF(Q224="",0,INDEX(Sheet2!A$2:A$6,MATCH(Q224,Sheet2!C$2:C$6,0)))</f>
        <v>0</v>
      </c>
      <c r="Y224" s="12">
        <f>IF(R224="",0,INDEX(Sheet2!A$2:A$6,MATCH(R224,Sheet2!C$2:C$6,0)))</f>
        <v>0</v>
      </c>
      <c r="Z224" s="12">
        <f t="shared" si="7"/>
        <v>0</v>
      </c>
      <c r="AA224" s="12" t="str">
        <f>IF(I224&gt;=7500,"E",IF(I224&gt;=6800,"D",IF(I224&gt;=4200,"C",IF(I224&gt;=3000,"B",IF(I224&gt;=750,"A","Below Slab")))))</f>
        <v>A</v>
      </c>
      <c r="AB224" s="19" t="str">
        <f>IF(I224&gt;=7500,"Samsung front-load washing machine",IF(I224&gt;=6800,"Apple iPad",IF(I224&gt;=4200,"Robot Vacuum cleaner",IF(I224&gt;=3000,"Sony - sound bar, woofer and speakers",IF(I224&gt;=750,"Foot massager","Not eligible")))))</f>
        <v>Foot massager</v>
      </c>
    </row>
    <row r="225" spans="1:28" customFormat="1">
      <c r="A225" s="1" t="s">
        <v>664</v>
      </c>
      <c r="B225" s="21" t="s">
        <v>665</v>
      </c>
      <c r="C225" s="21" t="s">
        <v>34</v>
      </c>
      <c r="D225" s="1" t="s">
        <v>27</v>
      </c>
      <c r="E225" s="1" t="s">
        <v>639</v>
      </c>
      <c r="F225" s="1" t="s">
        <v>115</v>
      </c>
      <c r="G225" s="1" t="s">
        <v>9</v>
      </c>
      <c r="H225" s="23">
        <v>34</v>
      </c>
      <c r="I225" s="23">
        <v>850</v>
      </c>
      <c r="J225" s="2" t="str">
        <f t="shared" si="6"/>
        <v/>
      </c>
      <c r="K225" s="2" t="str">
        <f>IF(J225="","",I225-J225)</f>
        <v/>
      </c>
      <c r="L225" s="1" t="s">
        <v>73</v>
      </c>
      <c r="M225" s="12"/>
      <c r="N225" s="12"/>
      <c r="O225" s="12"/>
      <c r="P225" s="12"/>
      <c r="Q225" s="12"/>
      <c r="R225" s="12"/>
      <c r="S225" s="12"/>
      <c r="T225" s="12">
        <f>IF(M225="",0,INDEX(Sheet2!A$2:A$6,MATCH(M225,Sheet2!C$2:C$6,0)))</f>
        <v>0</v>
      </c>
      <c r="U225" s="12">
        <f>IF(N225="",0,INDEX(Sheet2!A$2:A$6,MATCH(N225,Sheet2!C$2:C$6,0)))</f>
        <v>0</v>
      </c>
      <c r="V225" s="12">
        <f>IF(O225="",0,INDEX(Sheet2!A$2:A$6,MATCH(O225,Sheet2!C$2:C$6,0)))</f>
        <v>0</v>
      </c>
      <c r="W225" s="12">
        <f>IF(P225="",0,INDEX(Sheet2!A$2:A$6,MATCH(P225,Sheet2!C$2:C$6,0)))</f>
        <v>0</v>
      </c>
      <c r="X225" s="12">
        <f>IF(Q225="",0,INDEX(Sheet2!A$2:A$6,MATCH(Q225,Sheet2!C$2:C$6,0)))</f>
        <v>0</v>
      </c>
      <c r="Y225" s="12">
        <f>IF(R225="",0,INDEX(Sheet2!A$2:A$6,MATCH(R225,Sheet2!C$2:C$6,0)))</f>
        <v>0</v>
      </c>
      <c r="Z225" s="12">
        <f t="shared" si="7"/>
        <v>0</v>
      </c>
      <c r="AA225" s="12" t="str">
        <f>IF(I225&gt;=7500,"E",IF(I225&gt;=6800,"D",IF(I225&gt;=4200,"C",IF(I225&gt;=3000,"B",IF(I225&gt;=750,"A","Below Slab")))))</f>
        <v>A</v>
      </c>
      <c r="AB225" s="19" t="str">
        <f>IF(I225&gt;=7500,"Samsung front-load washing machine",IF(I225&gt;=6800,"Apple iPad",IF(I225&gt;=4200,"Robot Vacuum cleaner",IF(I225&gt;=3000,"Sony - sound bar, woofer and speakers",IF(I225&gt;=750,"Foot massager","Not eligible")))))</f>
        <v>Foot massager</v>
      </c>
    </row>
    <row r="226" spans="1:28" customFormat="1">
      <c r="A226" s="1" t="s">
        <v>666</v>
      </c>
      <c r="B226" s="21" t="s">
        <v>667</v>
      </c>
      <c r="C226" s="21" t="s">
        <v>35</v>
      </c>
      <c r="D226" s="1" t="s">
        <v>27</v>
      </c>
      <c r="E226" s="1" t="s">
        <v>668</v>
      </c>
      <c r="F226" s="1" t="s">
        <v>115</v>
      </c>
      <c r="G226" s="1" t="s">
        <v>9</v>
      </c>
      <c r="H226" s="23">
        <v>30</v>
      </c>
      <c r="I226" s="23">
        <v>750</v>
      </c>
      <c r="J226" s="2" t="str">
        <f t="shared" si="6"/>
        <v/>
      </c>
      <c r="K226" s="2" t="str">
        <f>IF(J226="","",I226-J226)</f>
        <v/>
      </c>
      <c r="L226" s="1" t="s">
        <v>73</v>
      </c>
      <c r="M226" s="12"/>
      <c r="N226" s="12"/>
      <c r="O226" s="12"/>
      <c r="P226" s="12"/>
      <c r="Q226" s="12"/>
      <c r="R226" s="12"/>
      <c r="S226" s="12"/>
      <c r="T226" s="12">
        <f>IF(M226="",0,INDEX(Sheet2!A$2:A$6,MATCH(M226,Sheet2!C$2:C$6,0)))</f>
        <v>0</v>
      </c>
      <c r="U226" s="12">
        <f>IF(N226="",0,INDEX(Sheet2!A$2:A$6,MATCH(N226,Sheet2!C$2:C$6,0)))</f>
        <v>0</v>
      </c>
      <c r="V226" s="12">
        <f>IF(O226="",0,INDEX(Sheet2!A$2:A$6,MATCH(O226,Sheet2!C$2:C$6,0)))</f>
        <v>0</v>
      </c>
      <c r="W226" s="12">
        <f>IF(P226="",0,INDEX(Sheet2!A$2:A$6,MATCH(P226,Sheet2!C$2:C$6,0)))</f>
        <v>0</v>
      </c>
      <c r="X226" s="12">
        <f>IF(Q226="",0,INDEX(Sheet2!A$2:A$6,MATCH(Q226,Sheet2!C$2:C$6,0)))</f>
        <v>0</v>
      </c>
      <c r="Y226" s="12">
        <f>IF(R226="",0,INDEX(Sheet2!A$2:A$6,MATCH(R226,Sheet2!C$2:C$6,0)))</f>
        <v>0</v>
      </c>
      <c r="Z226" s="12">
        <f t="shared" si="7"/>
        <v>0</v>
      </c>
      <c r="AA226" s="12" t="str">
        <f>IF(I226&gt;=7500,"E",IF(I226&gt;=6800,"D",IF(I226&gt;=4200,"C",IF(I226&gt;=3000,"B",IF(I226&gt;=750,"A","Below Slab")))))</f>
        <v>A</v>
      </c>
      <c r="AB226" s="19" t="str">
        <f>IF(I226&gt;=7500,"Samsung front-load washing machine",IF(I226&gt;=6800,"Apple iPad",IF(I226&gt;=4200,"Robot Vacuum cleaner",IF(I226&gt;=3000,"Sony - sound bar, woofer and speakers",IF(I226&gt;=750,"Foot massager","Not eligible")))))</f>
        <v>Foot massager</v>
      </c>
    </row>
    <row r="227" spans="1:28" customFormat="1">
      <c r="A227" s="1" t="s">
        <v>669</v>
      </c>
      <c r="B227" s="21" t="s">
        <v>670</v>
      </c>
      <c r="C227" s="21" t="s">
        <v>35</v>
      </c>
      <c r="D227" s="1" t="s">
        <v>27</v>
      </c>
      <c r="E227" s="1" t="s">
        <v>671</v>
      </c>
      <c r="F227" s="1" t="s">
        <v>115</v>
      </c>
      <c r="G227" s="1" t="s">
        <v>9</v>
      </c>
      <c r="H227" s="23">
        <v>35.5</v>
      </c>
      <c r="I227" s="23">
        <v>887.5</v>
      </c>
      <c r="J227" s="2" t="str">
        <f t="shared" si="6"/>
        <v/>
      </c>
      <c r="K227" s="2" t="str">
        <f>IF(J227="","",I227-J227)</f>
        <v/>
      </c>
      <c r="L227" s="1" t="s">
        <v>73</v>
      </c>
      <c r="M227" s="12"/>
      <c r="N227" s="12"/>
      <c r="O227" s="12"/>
      <c r="P227" s="12"/>
      <c r="Q227" s="12"/>
      <c r="R227" s="12"/>
      <c r="S227" s="12"/>
      <c r="T227" s="12">
        <f>IF(M227="",0,INDEX(Sheet2!A$2:A$6,MATCH(M227,Sheet2!C$2:C$6,0)))</f>
        <v>0</v>
      </c>
      <c r="U227" s="12">
        <f>IF(N227="",0,INDEX(Sheet2!A$2:A$6,MATCH(N227,Sheet2!C$2:C$6,0)))</f>
        <v>0</v>
      </c>
      <c r="V227" s="12">
        <f>IF(O227="",0,INDEX(Sheet2!A$2:A$6,MATCH(O227,Sheet2!C$2:C$6,0)))</f>
        <v>0</v>
      </c>
      <c r="W227" s="12">
        <f>IF(P227="",0,INDEX(Sheet2!A$2:A$6,MATCH(P227,Sheet2!C$2:C$6,0)))</f>
        <v>0</v>
      </c>
      <c r="X227" s="12">
        <f>IF(Q227="",0,INDEX(Sheet2!A$2:A$6,MATCH(Q227,Sheet2!C$2:C$6,0)))</f>
        <v>0</v>
      </c>
      <c r="Y227" s="12">
        <f>IF(R227="",0,INDEX(Sheet2!A$2:A$6,MATCH(R227,Sheet2!C$2:C$6,0)))</f>
        <v>0</v>
      </c>
      <c r="Z227" s="12">
        <f t="shared" si="7"/>
        <v>0</v>
      </c>
      <c r="AA227" s="12" t="str">
        <f>IF(I227&gt;=7500,"E",IF(I227&gt;=6800,"D",IF(I227&gt;=4200,"C",IF(I227&gt;=3000,"B",IF(I227&gt;=750,"A","Below Slab")))))</f>
        <v>A</v>
      </c>
      <c r="AB227" s="19" t="str">
        <f>IF(I227&gt;=7500,"Samsung front-load washing machine",IF(I227&gt;=6800,"Apple iPad",IF(I227&gt;=4200,"Robot Vacuum cleaner",IF(I227&gt;=3000,"Sony - sound bar, woofer and speakers",IF(I227&gt;=750,"Foot massager","Not eligible")))))</f>
        <v>Foot massager</v>
      </c>
    </row>
    <row r="228" spans="1:28" customFormat="1">
      <c r="A228" s="1" t="s">
        <v>672</v>
      </c>
      <c r="B228" s="21" t="s">
        <v>673</v>
      </c>
      <c r="C228" s="21" t="s">
        <v>35</v>
      </c>
      <c r="D228" s="1" t="s">
        <v>27</v>
      </c>
      <c r="E228" s="1" t="s">
        <v>674</v>
      </c>
      <c r="F228" s="1" t="s">
        <v>115</v>
      </c>
      <c r="G228" s="1" t="s">
        <v>9</v>
      </c>
      <c r="H228" s="23">
        <v>90</v>
      </c>
      <c r="I228" s="23">
        <v>2475</v>
      </c>
      <c r="J228" s="2" t="str">
        <f t="shared" si="6"/>
        <v/>
      </c>
      <c r="K228" s="2" t="str">
        <f>IF(J228="","",I228-J228)</f>
        <v/>
      </c>
      <c r="L228" s="1" t="s">
        <v>73</v>
      </c>
      <c r="M228" s="12"/>
      <c r="N228" s="12"/>
      <c r="O228" s="12"/>
      <c r="P228" s="12"/>
      <c r="Q228" s="12"/>
      <c r="R228" s="12"/>
      <c r="S228" s="12"/>
      <c r="T228" s="12">
        <f>IF(M228="",0,INDEX(Sheet2!A$2:A$6,MATCH(M228,Sheet2!C$2:C$6,0)))</f>
        <v>0</v>
      </c>
      <c r="U228" s="12">
        <f>IF(N228="",0,INDEX(Sheet2!A$2:A$6,MATCH(N228,Sheet2!C$2:C$6,0)))</f>
        <v>0</v>
      </c>
      <c r="V228" s="12">
        <f>IF(O228="",0,INDEX(Sheet2!A$2:A$6,MATCH(O228,Sheet2!C$2:C$6,0)))</f>
        <v>0</v>
      </c>
      <c r="W228" s="12">
        <f>IF(P228="",0,INDEX(Sheet2!A$2:A$6,MATCH(P228,Sheet2!C$2:C$6,0)))</f>
        <v>0</v>
      </c>
      <c r="X228" s="12">
        <f>IF(Q228="",0,INDEX(Sheet2!A$2:A$6,MATCH(Q228,Sheet2!C$2:C$6,0)))</f>
        <v>0</v>
      </c>
      <c r="Y228" s="12">
        <f>IF(R228="",0,INDEX(Sheet2!A$2:A$6,MATCH(R228,Sheet2!C$2:C$6,0)))</f>
        <v>0</v>
      </c>
      <c r="Z228" s="12">
        <f t="shared" si="7"/>
        <v>0</v>
      </c>
      <c r="AA228" s="12" t="str">
        <f>IF(I228&gt;=7500,"E",IF(I228&gt;=6800,"D",IF(I228&gt;=4200,"C",IF(I228&gt;=3000,"B",IF(I228&gt;=750,"A","Below Slab")))))</f>
        <v>A</v>
      </c>
      <c r="AB228" s="19" t="str">
        <f>IF(I228&gt;=7500,"Samsung front-load washing machine",IF(I228&gt;=6800,"Apple iPad",IF(I228&gt;=4200,"Robot Vacuum cleaner",IF(I228&gt;=3000,"Sony - sound bar, woofer and speakers",IF(I228&gt;=750,"Foot massager","Not eligible")))))</f>
        <v>Foot massager</v>
      </c>
    </row>
    <row r="229" spans="1:28" customFormat="1">
      <c r="A229" s="1" t="s">
        <v>675</v>
      </c>
      <c r="B229" s="21" t="s">
        <v>676</v>
      </c>
      <c r="C229" s="21" t="s">
        <v>35</v>
      </c>
      <c r="D229" s="1" t="s">
        <v>27</v>
      </c>
      <c r="E229" s="1" t="s">
        <v>668</v>
      </c>
      <c r="F229" s="1" t="s">
        <v>115</v>
      </c>
      <c r="G229" s="1" t="s">
        <v>9</v>
      </c>
      <c r="H229" s="23">
        <v>44</v>
      </c>
      <c r="I229" s="23">
        <v>1100</v>
      </c>
      <c r="J229" s="2" t="str">
        <f t="shared" si="6"/>
        <v/>
      </c>
      <c r="K229" s="2" t="str">
        <f>IF(J229="","",I229-J229)</f>
        <v/>
      </c>
      <c r="L229" s="1" t="s">
        <v>73</v>
      </c>
      <c r="M229" s="12"/>
      <c r="N229" s="12"/>
      <c r="O229" s="12"/>
      <c r="P229" s="12"/>
      <c r="Q229" s="12"/>
      <c r="R229" s="12"/>
      <c r="S229" s="12"/>
      <c r="T229" s="12">
        <f>IF(M229="",0,INDEX(Sheet2!A$2:A$6,MATCH(M229,Sheet2!C$2:C$6,0)))</f>
        <v>0</v>
      </c>
      <c r="U229" s="12">
        <f>IF(N229="",0,INDEX(Sheet2!A$2:A$6,MATCH(N229,Sheet2!C$2:C$6,0)))</f>
        <v>0</v>
      </c>
      <c r="V229" s="12">
        <f>IF(O229="",0,INDEX(Sheet2!A$2:A$6,MATCH(O229,Sheet2!C$2:C$6,0)))</f>
        <v>0</v>
      </c>
      <c r="W229" s="12">
        <f>IF(P229="",0,INDEX(Sheet2!A$2:A$6,MATCH(P229,Sheet2!C$2:C$6,0)))</f>
        <v>0</v>
      </c>
      <c r="X229" s="12">
        <f>IF(Q229="",0,INDEX(Sheet2!A$2:A$6,MATCH(Q229,Sheet2!C$2:C$6,0)))</f>
        <v>0</v>
      </c>
      <c r="Y229" s="12">
        <f>IF(R229="",0,INDEX(Sheet2!A$2:A$6,MATCH(R229,Sheet2!C$2:C$6,0)))</f>
        <v>0</v>
      </c>
      <c r="Z229" s="12">
        <f t="shared" si="7"/>
        <v>0</v>
      </c>
      <c r="AA229" s="12" t="str">
        <f>IF(I229&gt;=7500,"E",IF(I229&gt;=6800,"D",IF(I229&gt;=4200,"C",IF(I229&gt;=3000,"B",IF(I229&gt;=750,"A","Below Slab")))))</f>
        <v>A</v>
      </c>
      <c r="AB229" s="19" t="str">
        <f>IF(I229&gt;=7500,"Samsung front-load washing machine",IF(I229&gt;=6800,"Apple iPad",IF(I229&gt;=4200,"Robot Vacuum cleaner",IF(I229&gt;=3000,"Sony - sound bar, woofer and speakers",IF(I229&gt;=750,"Foot massager","Not eligible")))))</f>
        <v>Foot massager</v>
      </c>
    </row>
    <row r="230" spans="1:28" customFormat="1">
      <c r="A230" s="1" t="s">
        <v>677</v>
      </c>
      <c r="B230" s="21" t="s">
        <v>678</v>
      </c>
      <c r="C230" s="21" t="s">
        <v>35</v>
      </c>
      <c r="D230" s="1" t="s">
        <v>27</v>
      </c>
      <c r="E230" s="1" t="s">
        <v>679</v>
      </c>
      <c r="F230" s="1" t="s">
        <v>115</v>
      </c>
      <c r="G230" s="1" t="s">
        <v>9</v>
      </c>
      <c r="H230" s="23">
        <v>63.94</v>
      </c>
      <c r="I230" s="23">
        <v>1758.3500000000001</v>
      </c>
      <c r="J230" s="2" t="str">
        <f t="shared" si="6"/>
        <v/>
      </c>
      <c r="K230" s="2" t="str">
        <f>IF(J230="","",I230-J230)</f>
        <v/>
      </c>
      <c r="L230" s="1" t="s">
        <v>73</v>
      </c>
      <c r="M230" s="12"/>
      <c r="N230" s="12"/>
      <c r="O230" s="12"/>
      <c r="P230" s="12"/>
      <c r="Q230" s="12"/>
      <c r="R230" s="12"/>
      <c r="S230" s="12"/>
      <c r="T230" s="12">
        <f>IF(M230="",0,INDEX(Sheet2!A$2:A$6,MATCH(M230,Sheet2!C$2:C$6,0)))</f>
        <v>0</v>
      </c>
      <c r="U230" s="12">
        <f>IF(N230="",0,INDEX(Sheet2!A$2:A$6,MATCH(N230,Sheet2!C$2:C$6,0)))</f>
        <v>0</v>
      </c>
      <c r="V230" s="12">
        <f>IF(O230="",0,INDEX(Sheet2!A$2:A$6,MATCH(O230,Sheet2!C$2:C$6,0)))</f>
        <v>0</v>
      </c>
      <c r="W230" s="12">
        <f>IF(P230="",0,INDEX(Sheet2!A$2:A$6,MATCH(P230,Sheet2!C$2:C$6,0)))</f>
        <v>0</v>
      </c>
      <c r="X230" s="12">
        <f>IF(Q230="",0,INDEX(Sheet2!A$2:A$6,MATCH(Q230,Sheet2!C$2:C$6,0)))</f>
        <v>0</v>
      </c>
      <c r="Y230" s="12">
        <f>IF(R230="",0,INDEX(Sheet2!A$2:A$6,MATCH(R230,Sheet2!C$2:C$6,0)))</f>
        <v>0</v>
      </c>
      <c r="Z230" s="12">
        <f t="shared" si="7"/>
        <v>0</v>
      </c>
      <c r="AA230" s="12" t="str">
        <f>IF(I230&gt;=7500,"E",IF(I230&gt;=6800,"D",IF(I230&gt;=4200,"C",IF(I230&gt;=3000,"B",IF(I230&gt;=750,"A","Below Slab")))))</f>
        <v>A</v>
      </c>
      <c r="AB230" s="19" t="str">
        <f>IF(I230&gt;=7500,"Samsung front-load washing machine",IF(I230&gt;=6800,"Apple iPad",IF(I230&gt;=4200,"Robot Vacuum cleaner",IF(I230&gt;=3000,"Sony - sound bar, woofer and speakers",IF(I230&gt;=750,"Foot massager","Not eligible")))))</f>
        <v>Foot massager</v>
      </c>
    </row>
    <row r="231" spans="1:28" customFormat="1">
      <c r="A231" s="1" t="s">
        <v>680</v>
      </c>
      <c r="B231" s="21" t="s">
        <v>681</v>
      </c>
      <c r="C231" s="21" t="s">
        <v>35</v>
      </c>
      <c r="D231" s="1" t="s">
        <v>27</v>
      </c>
      <c r="E231" s="1" t="s">
        <v>668</v>
      </c>
      <c r="F231" s="1" t="s">
        <v>115</v>
      </c>
      <c r="G231" s="1" t="s">
        <v>9</v>
      </c>
      <c r="H231" s="23">
        <v>39</v>
      </c>
      <c r="I231" s="23">
        <v>975</v>
      </c>
      <c r="J231" s="2" t="str">
        <f t="shared" si="6"/>
        <v/>
      </c>
      <c r="K231" s="2" t="str">
        <f>IF(J231="","",I231-J231)</f>
        <v/>
      </c>
      <c r="L231" s="1" t="s">
        <v>73</v>
      </c>
      <c r="M231" s="12"/>
      <c r="N231" s="12"/>
      <c r="O231" s="12"/>
      <c r="P231" s="12"/>
      <c r="Q231" s="12"/>
      <c r="R231" s="12"/>
      <c r="S231" s="12"/>
      <c r="T231" s="12">
        <f>IF(M231="",0,INDEX(Sheet2!A$2:A$6,MATCH(M231,Sheet2!C$2:C$6,0)))</f>
        <v>0</v>
      </c>
      <c r="U231" s="12">
        <f>IF(N231="",0,INDEX(Sheet2!A$2:A$6,MATCH(N231,Sheet2!C$2:C$6,0)))</f>
        <v>0</v>
      </c>
      <c r="V231" s="12">
        <f>IF(O231="",0,INDEX(Sheet2!A$2:A$6,MATCH(O231,Sheet2!C$2:C$6,0)))</f>
        <v>0</v>
      </c>
      <c r="W231" s="12">
        <f>IF(P231="",0,INDEX(Sheet2!A$2:A$6,MATCH(P231,Sheet2!C$2:C$6,0)))</f>
        <v>0</v>
      </c>
      <c r="X231" s="12">
        <f>IF(Q231="",0,INDEX(Sheet2!A$2:A$6,MATCH(Q231,Sheet2!C$2:C$6,0)))</f>
        <v>0</v>
      </c>
      <c r="Y231" s="12">
        <f>IF(R231="",0,INDEX(Sheet2!A$2:A$6,MATCH(R231,Sheet2!C$2:C$6,0)))</f>
        <v>0</v>
      </c>
      <c r="Z231" s="12">
        <f t="shared" si="7"/>
        <v>0</v>
      </c>
      <c r="AA231" s="12" t="str">
        <f>IF(I231&gt;=7500,"E",IF(I231&gt;=6800,"D",IF(I231&gt;=4200,"C",IF(I231&gt;=3000,"B",IF(I231&gt;=750,"A","Below Slab")))))</f>
        <v>A</v>
      </c>
      <c r="AB231" s="19" t="str">
        <f>IF(I231&gt;=7500,"Samsung front-load washing machine",IF(I231&gt;=6800,"Apple iPad",IF(I231&gt;=4200,"Robot Vacuum cleaner",IF(I231&gt;=3000,"Sony - sound bar, woofer and speakers",IF(I231&gt;=750,"Foot massager","Not eligible")))))</f>
        <v>Foot massager</v>
      </c>
    </row>
    <row r="232" spans="1:28" customFormat="1">
      <c r="A232" s="1" t="s">
        <v>682</v>
      </c>
      <c r="B232" s="21" t="s">
        <v>683</v>
      </c>
      <c r="C232" s="21" t="s">
        <v>35</v>
      </c>
      <c r="D232" s="1" t="s">
        <v>27</v>
      </c>
      <c r="E232" s="1" t="s">
        <v>679</v>
      </c>
      <c r="F232" s="1" t="s">
        <v>115</v>
      </c>
      <c r="G232" s="1" t="s">
        <v>9</v>
      </c>
      <c r="H232" s="23">
        <v>229</v>
      </c>
      <c r="I232" s="23">
        <v>8587.5</v>
      </c>
      <c r="J232" s="2" t="str">
        <f t="shared" si="6"/>
        <v/>
      </c>
      <c r="K232" s="2" t="str">
        <f>IF(J232="","",I232-J232)</f>
        <v/>
      </c>
      <c r="L232" s="1" t="s">
        <v>81</v>
      </c>
      <c r="M232" s="12"/>
      <c r="N232" s="12"/>
      <c r="O232" s="12"/>
      <c r="P232" s="12"/>
      <c r="Q232" s="12"/>
      <c r="R232" s="12"/>
      <c r="S232" s="12"/>
      <c r="T232" s="12">
        <f>IF(M232="",0,INDEX(Sheet2!A$2:A$6,MATCH(M232,Sheet2!C$2:C$6,0)))</f>
        <v>0</v>
      </c>
      <c r="U232" s="12">
        <f>IF(N232="",0,INDEX(Sheet2!A$2:A$6,MATCH(N232,Sheet2!C$2:C$6,0)))</f>
        <v>0</v>
      </c>
      <c r="V232" s="12">
        <f>IF(O232="",0,INDEX(Sheet2!A$2:A$6,MATCH(O232,Sheet2!C$2:C$6,0)))</f>
        <v>0</v>
      </c>
      <c r="W232" s="12">
        <f>IF(P232="",0,INDEX(Sheet2!A$2:A$6,MATCH(P232,Sheet2!C$2:C$6,0)))</f>
        <v>0</v>
      </c>
      <c r="X232" s="12">
        <f>IF(Q232="",0,INDEX(Sheet2!A$2:A$6,MATCH(Q232,Sheet2!C$2:C$6,0)))</f>
        <v>0</v>
      </c>
      <c r="Y232" s="12">
        <f>IF(R232="",0,INDEX(Sheet2!A$2:A$6,MATCH(R232,Sheet2!C$2:C$6,0)))</f>
        <v>0</v>
      </c>
      <c r="Z232" s="12">
        <f t="shared" si="7"/>
        <v>0</v>
      </c>
      <c r="AA232" s="12" t="str">
        <f>IF(I232&gt;=7500,"E",IF(I232&gt;=6800,"D",IF(I232&gt;=4200,"C",IF(I232&gt;=3000,"B",IF(I232&gt;=750,"A","Below Slab")))))</f>
        <v>E</v>
      </c>
      <c r="AB232" s="19" t="str">
        <f>IF(I232&gt;=7500,"Samsung front-load washing machine",IF(I232&gt;=6800,"Apple iPad",IF(I232&gt;=4200,"Robot Vacuum cleaner",IF(I232&gt;=3000,"Sony - sound bar, woofer and speakers",IF(I232&gt;=750,"Foot massager","Not eligible")))))</f>
        <v>Samsung front-load washing machine</v>
      </c>
    </row>
    <row r="233" spans="1:28" customFormat="1">
      <c r="A233" s="1" t="s">
        <v>684</v>
      </c>
      <c r="B233" s="21" t="s">
        <v>685</v>
      </c>
      <c r="C233" s="21" t="s">
        <v>35</v>
      </c>
      <c r="D233" s="1" t="s">
        <v>27</v>
      </c>
      <c r="E233" s="1" t="s">
        <v>671</v>
      </c>
      <c r="F233" s="1" t="s">
        <v>115</v>
      </c>
      <c r="G233" s="1" t="s">
        <v>9</v>
      </c>
      <c r="H233" s="23">
        <v>40</v>
      </c>
      <c r="I233" s="23">
        <v>1000</v>
      </c>
      <c r="J233" s="2" t="str">
        <f t="shared" si="6"/>
        <v/>
      </c>
      <c r="K233" s="2" t="str">
        <f>IF(J233="","",I233-J233)</f>
        <v/>
      </c>
      <c r="L233" s="1" t="s">
        <v>73</v>
      </c>
      <c r="M233" s="12"/>
      <c r="N233" s="12"/>
      <c r="O233" s="12"/>
      <c r="P233" s="12"/>
      <c r="Q233" s="12"/>
      <c r="R233" s="12"/>
      <c r="S233" s="12"/>
      <c r="T233" s="12">
        <f>IF(M233="",0,INDEX(Sheet2!A$2:A$6,MATCH(M233,Sheet2!C$2:C$6,0)))</f>
        <v>0</v>
      </c>
      <c r="U233" s="12">
        <f>IF(N233="",0,INDEX(Sheet2!A$2:A$6,MATCH(N233,Sheet2!C$2:C$6,0)))</f>
        <v>0</v>
      </c>
      <c r="V233" s="12">
        <f>IF(O233="",0,INDEX(Sheet2!A$2:A$6,MATCH(O233,Sheet2!C$2:C$6,0)))</f>
        <v>0</v>
      </c>
      <c r="W233" s="12">
        <f>IF(P233="",0,INDEX(Sheet2!A$2:A$6,MATCH(P233,Sheet2!C$2:C$6,0)))</f>
        <v>0</v>
      </c>
      <c r="X233" s="12">
        <f>IF(Q233="",0,INDEX(Sheet2!A$2:A$6,MATCH(Q233,Sheet2!C$2:C$6,0)))</f>
        <v>0</v>
      </c>
      <c r="Y233" s="12">
        <f>IF(R233="",0,INDEX(Sheet2!A$2:A$6,MATCH(R233,Sheet2!C$2:C$6,0)))</f>
        <v>0</v>
      </c>
      <c r="Z233" s="12">
        <f t="shared" si="7"/>
        <v>0</v>
      </c>
      <c r="AA233" s="12" t="str">
        <f>IF(I233&gt;=7500,"E",IF(I233&gt;=6800,"D",IF(I233&gt;=4200,"C",IF(I233&gt;=3000,"B",IF(I233&gt;=750,"A","Below Slab")))))</f>
        <v>A</v>
      </c>
      <c r="AB233" s="19" t="str">
        <f>IF(I233&gt;=7500,"Samsung front-load washing machine",IF(I233&gt;=6800,"Apple iPad",IF(I233&gt;=4200,"Robot Vacuum cleaner",IF(I233&gt;=3000,"Sony - sound bar, woofer and speakers",IF(I233&gt;=750,"Foot massager","Not eligible")))))</f>
        <v>Foot massager</v>
      </c>
    </row>
    <row r="234" spans="1:28" customFormat="1">
      <c r="A234" s="1" t="s">
        <v>686</v>
      </c>
      <c r="B234" s="21" t="s">
        <v>687</v>
      </c>
      <c r="C234" s="21" t="s">
        <v>35</v>
      </c>
      <c r="D234" s="1" t="s">
        <v>27</v>
      </c>
      <c r="E234" s="1" t="s">
        <v>688</v>
      </c>
      <c r="F234" s="1" t="s">
        <v>115</v>
      </c>
      <c r="G234" s="1" t="s">
        <v>9</v>
      </c>
      <c r="H234" s="23">
        <v>141.48000000000002</v>
      </c>
      <c r="I234" s="23">
        <v>4244.4000000000005</v>
      </c>
      <c r="J234" s="2" t="str">
        <f t="shared" si="6"/>
        <v/>
      </c>
      <c r="K234" s="2" t="str">
        <f>IF(J234="","",I234-J234)</f>
        <v/>
      </c>
      <c r="L234" s="1" t="s">
        <v>77</v>
      </c>
      <c r="M234" s="12"/>
      <c r="N234" s="12"/>
      <c r="O234" s="12"/>
      <c r="P234" s="12"/>
      <c r="Q234" s="12"/>
      <c r="R234" s="12"/>
      <c r="S234" s="12"/>
      <c r="T234" s="12">
        <f>IF(M234="",0,INDEX(Sheet2!A$2:A$6,MATCH(M234,Sheet2!C$2:C$6,0)))</f>
        <v>0</v>
      </c>
      <c r="U234" s="12">
        <f>IF(N234="",0,INDEX(Sheet2!A$2:A$6,MATCH(N234,Sheet2!C$2:C$6,0)))</f>
        <v>0</v>
      </c>
      <c r="V234" s="12">
        <f>IF(O234="",0,INDEX(Sheet2!A$2:A$6,MATCH(O234,Sheet2!C$2:C$6,0)))</f>
        <v>0</v>
      </c>
      <c r="W234" s="12">
        <f>IF(P234="",0,INDEX(Sheet2!A$2:A$6,MATCH(P234,Sheet2!C$2:C$6,0)))</f>
        <v>0</v>
      </c>
      <c r="X234" s="12">
        <f>IF(Q234="",0,INDEX(Sheet2!A$2:A$6,MATCH(Q234,Sheet2!C$2:C$6,0)))</f>
        <v>0</v>
      </c>
      <c r="Y234" s="12">
        <f>IF(R234="",0,INDEX(Sheet2!A$2:A$6,MATCH(R234,Sheet2!C$2:C$6,0)))</f>
        <v>0</v>
      </c>
      <c r="Z234" s="12">
        <f t="shared" si="7"/>
        <v>0</v>
      </c>
      <c r="AA234" s="12" t="str">
        <f>IF(I234&gt;=7500,"E",IF(I234&gt;=6800,"D",IF(I234&gt;=4200,"C",IF(I234&gt;=3000,"B",IF(I234&gt;=750,"A","Below Slab")))))</f>
        <v>C</v>
      </c>
      <c r="AB234" s="19" t="str">
        <f>IF(I234&gt;=7500,"Samsung front-load washing machine",IF(I234&gt;=6800,"Apple iPad",IF(I234&gt;=4200,"Robot Vacuum cleaner",IF(I234&gt;=3000,"Sony - sound bar, woofer and speakers",IF(I234&gt;=750,"Foot massager","Not eligible")))))</f>
        <v>Robot Vacuum cleaner</v>
      </c>
    </row>
    <row r="235" spans="1:28" customFormat="1">
      <c r="A235" s="1" t="s">
        <v>689</v>
      </c>
      <c r="B235" s="21" t="s">
        <v>690</v>
      </c>
      <c r="C235" s="21" t="s">
        <v>35</v>
      </c>
      <c r="D235" s="1" t="s">
        <v>27</v>
      </c>
      <c r="E235" s="1" t="s">
        <v>668</v>
      </c>
      <c r="F235" s="1" t="s">
        <v>115</v>
      </c>
      <c r="G235" s="1" t="s">
        <v>9</v>
      </c>
      <c r="H235" s="23">
        <v>34</v>
      </c>
      <c r="I235" s="23">
        <v>850</v>
      </c>
      <c r="J235" s="2" t="str">
        <f t="shared" si="6"/>
        <v/>
      </c>
      <c r="K235" s="2" t="str">
        <f>IF(J235="","",I235-J235)</f>
        <v/>
      </c>
      <c r="L235" s="1" t="s">
        <v>73</v>
      </c>
      <c r="M235" s="12"/>
      <c r="N235" s="12"/>
      <c r="O235" s="12"/>
      <c r="P235" s="12"/>
      <c r="Q235" s="12"/>
      <c r="R235" s="12"/>
      <c r="S235" s="12"/>
      <c r="T235" s="12">
        <f>IF(M235="",0,INDEX(Sheet2!A$2:A$6,MATCH(M235,Sheet2!C$2:C$6,0)))</f>
        <v>0</v>
      </c>
      <c r="U235" s="12">
        <f>IF(N235="",0,INDEX(Sheet2!A$2:A$6,MATCH(N235,Sheet2!C$2:C$6,0)))</f>
        <v>0</v>
      </c>
      <c r="V235" s="12">
        <f>IF(O235="",0,INDEX(Sheet2!A$2:A$6,MATCH(O235,Sheet2!C$2:C$6,0)))</f>
        <v>0</v>
      </c>
      <c r="W235" s="12">
        <f>IF(P235="",0,INDEX(Sheet2!A$2:A$6,MATCH(P235,Sheet2!C$2:C$6,0)))</f>
        <v>0</v>
      </c>
      <c r="X235" s="12">
        <f>IF(Q235="",0,INDEX(Sheet2!A$2:A$6,MATCH(Q235,Sheet2!C$2:C$6,0)))</f>
        <v>0</v>
      </c>
      <c r="Y235" s="12">
        <f>IF(R235="",0,INDEX(Sheet2!A$2:A$6,MATCH(R235,Sheet2!C$2:C$6,0)))</f>
        <v>0</v>
      </c>
      <c r="Z235" s="12">
        <f t="shared" si="7"/>
        <v>0</v>
      </c>
      <c r="AA235" s="12" t="str">
        <f>IF(I235&gt;=7500,"E",IF(I235&gt;=6800,"D",IF(I235&gt;=4200,"C",IF(I235&gt;=3000,"B",IF(I235&gt;=750,"A","Below Slab")))))</f>
        <v>A</v>
      </c>
      <c r="AB235" s="19" t="str">
        <f>IF(I235&gt;=7500,"Samsung front-load washing machine",IF(I235&gt;=6800,"Apple iPad",IF(I235&gt;=4200,"Robot Vacuum cleaner",IF(I235&gt;=3000,"Sony - sound bar, woofer and speakers",IF(I235&gt;=750,"Foot massager","Not eligible")))))</f>
        <v>Foot massager</v>
      </c>
    </row>
    <row r="236" spans="1:28" customFormat="1">
      <c r="A236" s="1" t="s">
        <v>691</v>
      </c>
      <c r="B236" s="21" t="s">
        <v>164</v>
      </c>
      <c r="C236" s="21" t="s">
        <v>35</v>
      </c>
      <c r="D236" s="1" t="s">
        <v>27</v>
      </c>
      <c r="E236" s="1" t="s">
        <v>679</v>
      </c>
      <c r="F236" s="1" t="s">
        <v>115</v>
      </c>
      <c r="G236" s="1" t="s">
        <v>9</v>
      </c>
      <c r="H236" s="23">
        <v>32</v>
      </c>
      <c r="I236" s="23">
        <v>800</v>
      </c>
      <c r="J236" s="2" t="str">
        <f t="shared" si="6"/>
        <v/>
      </c>
      <c r="K236" s="2" t="str">
        <f>IF(J236="","",I236-J236)</f>
        <v/>
      </c>
      <c r="L236" s="1" t="s">
        <v>73</v>
      </c>
      <c r="M236" s="12"/>
      <c r="N236" s="12"/>
      <c r="O236" s="12"/>
      <c r="P236" s="12"/>
      <c r="Q236" s="12"/>
      <c r="R236" s="12"/>
      <c r="S236" s="12"/>
      <c r="T236" s="12">
        <f>IF(M236="",0,INDEX(Sheet2!A$2:A$6,MATCH(M236,Sheet2!C$2:C$6,0)))</f>
        <v>0</v>
      </c>
      <c r="U236" s="12">
        <f>IF(N236="",0,INDEX(Sheet2!A$2:A$6,MATCH(N236,Sheet2!C$2:C$6,0)))</f>
        <v>0</v>
      </c>
      <c r="V236" s="12">
        <f>IF(O236="",0,INDEX(Sheet2!A$2:A$6,MATCH(O236,Sheet2!C$2:C$6,0)))</f>
        <v>0</v>
      </c>
      <c r="W236" s="12">
        <f>IF(P236="",0,INDEX(Sheet2!A$2:A$6,MATCH(P236,Sheet2!C$2:C$6,0)))</f>
        <v>0</v>
      </c>
      <c r="X236" s="12">
        <f>IF(Q236="",0,INDEX(Sheet2!A$2:A$6,MATCH(Q236,Sheet2!C$2:C$6,0)))</f>
        <v>0</v>
      </c>
      <c r="Y236" s="12">
        <f>IF(R236="",0,INDEX(Sheet2!A$2:A$6,MATCH(R236,Sheet2!C$2:C$6,0)))</f>
        <v>0</v>
      </c>
      <c r="Z236" s="12">
        <f t="shared" si="7"/>
        <v>0</v>
      </c>
      <c r="AA236" s="12" t="str">
        <f>IF(I236&gt;=7500,"E",IF(I236&gt;=6800,"D",IF(I236&gt;=4200,"C",IF(I236&gt;=3000,"B",IF(I236&gt;=750,"A","Below Slab")))))</f>
        <v>A</v>
      </c>
      <c r="AB236" s="19" t="str">
        <f>IF(I236&gt;=7500,"Samsung front-load washing machine",IF(I236&gt;=6800,"Apple iPad",IF(I236&gt;=4200,"Robot Vacuum cleaner",IF(I236&gt;=3000,"Sony - sound bar, woofer and speakers",IF(I236&gt;=750,"Foot massager","Not eligible")))))</f>
        <v>Foot massager</v>
      </c>
    </row>
    <row r="237" spans="1:28" customFormat="1">
      <c r="A237" s="1" t="s">
        <v>692</v>
      </c>
      <c r="B237" s="21" t="s">
        <v>693</v>
      </c>
      <c r="C237" s="21" t="s">
        <v>42</v>
      </c>
      <c r="D237" s="1" t="s">
        <v>27</v>
      </c>
      <c r="E237" s="1" t="s">
        <v>694</v>
      </c>
      <c r="F237" s="1" t="s">
        <v>115</v>
      </c>
      <c r="G237" s="1" t="s">
        <v>9</v>
      </c>
      <c r="H237" s="23">
        <v>467.78</v>
      </c>
      <c r="I237" s="23">
        <v>17541.75</v>
      </c>
      <c r="J237" s="2" t="str">
        <f t="shared" si="6"/>
        <v/>
      </c>
      <c r="K237" s="2" t="str">
        <f>IF(J237="","",I237-J237)</f>
        <v/>
      </c>
      <c r="L237" s="1" t="s">
        <v>81</v>
      </c>
      <c r="M237" s="12"/>
      <c r="N237" s="12"/>
      <c r="O237" s="12"/>
      <c r="P237" s="12"/>
      <c r="Q237" s="12"/>
      <c r="R237" s="12"/>
      <c r="S237" s="12"/>
      <c r="T237" s="12">
        <f>IF(M237="",0,INDEX(Sheet2!A$2:A$6,MATCH(M237,Sheet2!C$2:C$6,0)))</f>
        <v>0</v>
      </c>
      <c r="U237" s="12">
        <f>IF(N237="",0,INDEX(Sheet2!A$2:A$6,MATCH(N237,Sheet2!C$2:C$6,0)))</f>
        <v>0</v>
      </c>
      <c r="V237" s="12">
        <f>IF(O237="",0,INDEX(Sheet2!A$2:A$6,MATCH(O237,Sheet2!C$2:C$6,0)))</f>
        <v>0</v>
      </c>
      <c r="W237" s="12">
        <f>IF(P237="",0,INDEX(Sheet2!A$2:A$6,MATCH(P237,Sheet2!C$2:C$6,0)))</f>
        <v>0</v>
      </c>
      <c r="X237" s="12">
        <f>IF(Q237="",0,INDEX(Sheet2!A$2:A$6,MATCH(Q237,Sheet2!C$2:C$6,0)))</f>
        <v>0</v>
      </c>
      <c r="Y237" s="12">
        <f>IF(R237="",0,INDEX(Sheet2!A$2:A$6,MATCH(R237,Sheet2!C$2:C$6,0)))</f>
        <v>0</v>
      </c>
      <c r="Z237" s="12">
        <f t="shared" si="7"/>
        <v>0</v>
      </c>
      <c r="AA237" s="12" t="str">
        <f>IF(I237&gt;=7500,"E",IF(I237&gt;=6800,"D",IF(I237&gt;=4200,"C",IF(I237&gt;=3000,"B",IF(I237&gt;=750,"A","Below Slab")))))</f>
        <v>E</v>
      </c>
      <c r="AB237" s="19" t="str">
        <f>IF(I237&gt;=7500,"Samsung front-load washing machine",IF(I237&gt;=6800,"Apple iPad",IF(I237&gt;=4200,"Robot Vacuum cleaner",IF(I237&gt;=3000,"Sony - sound bar, woofer and speakers",IF(I237&gt;=750,"Foot massager","Not eligible")))))</f>
        <v>Samsung front-load washing machine</v>
      </c>
    </row>
    <row r="238" spans="1:28" customFormat="1">
      <c r="A238" s="1" t="s">
        <v>695</v>
      </c>
      <c r="B238" s="21" t="s">
        <v>696</v>
      </c>
      <c r="C238" s="21" t="s">
        <v>42</v>
      </c>
      <c r="D238" s="1" t="s">
        <v>27</v>
      </c>
      <c r="E238" s="1" t="s">
        <v>694</v>
      </c>
      <c r="F238" s="1" t="s">
        <v>115</v>
      </c>
      <c r="G238" s="1" t="s">
        <v>9</v>
      </c>
      <c r="H238" s="23">
        <v>245.03</v>
      </c>
      <c r="I238" s="23">
        <v>9188.625</v>
      </c>
      <c r="J238" s="2" t="str">
        <f t="shared" si="6"/>
        <v/>
      </c>
      <c r="K238" s="2" t="str">
        <f>IF(J238="","",I238-J238)</f>
        <v/>
      </c>
      <c r="L238" s="1" t="s">
        <v>81</v>
      </c>
      <c r="M238" s="12"/>
      <c r="N238" s="12"/>
      <c r="O238" s="12"/>
      <c r="P238" s="12"/>
      <c r="Q238" s="12"/>
      <c r="R238" s="12"/>
      <c r="S238" s="12"/>
      <c r="T238" s="12">
        <f>IF(M238="",0,INDEX(Sheet2!A$2:A$6,MATCH(M238,Sheet2!C$2:C$6,0)))</f>
        <v>0</v>
      </c>
      <c r="U238" s="12">
        <f>IF(N238="",0,INDEX(Sheet2!A$2:A$6,MATCH(N238,Sheet2!C$2:C$6,0)))</f>
        <v>0</v>
      </c>
      <c r="V238" s="12">
        <f>IF(O238="",0,INDEX(Sheet2!A$2:A$6,MATCH(O238,Sheet2!C$2:C$6,0)))</f>
        <v>0</v>
      </c>
      <c r="W238" s="12">
        <f>IF(P238="",0,INDEX(Sheet2!A$2:A$6,MATCH(P238,Sheet2!C$2:C$6,0)))</f>
        <v>0</v>
      </c>
      <c r="X238" s="12">
        <f>IF(Q238="",0,INDEX(Sheet2!A$2:A$6,MATCH(Q238,Sheet2!C$2:C$6,0)))</f>
        <v>0</v>
      </c>
      <c r="Y238" s="12">
        <f>IF(R238="",0,INDEX(Sheet2!A$2:A$6,MATCH(R238,Sheet2!C$2:C$6,0)))</f>
        <v>0</v>
      </c>
      <c r="Z238" s="12">
        <f t="shared" si="7"/>
        <v>0</v>
      </c>
      <c r="AA238" s="12" t="str">
        <f>IF(I238&gt;=7500,"E",IF(I238&gt;=6800,"D",IF(I238&gt;=4200,"C",IF(I238&gt;=3000,"B",IF(I238&gt;=750,"A","Below Slab")))))</f>
        <v>E</v>
      </c>
      <c r="AB238" s="19" t="str">
        <f>IF(I238&gt;=7500,"Samsung front-load washing machine",IF(I238&gt;=6800,"Apple iPad",IF(I238&gt;=4200,"Robot Vacuum cleaner",IF(I238&gt;=3000,"Sony - sound bar, woofer and speakers",IF(I238&gt;=750,"Foot massager","Not eligible")))))</f>
        <v>Samsung front-load washing machine</v>
      </c>
    </row>
    <row r="239" spans="1:28" customFormat="1">
      <c r="A239" s="1" t="s">
        <v>697</v>
      </c>
      <c r="B239" s="21" t="s">
        <v>698</v>
      </c>
      <c r="C239" s="21" t="s">
        <v>42</v>
      </c>
      <c r="D239" s="1" t="s">
        <v>27</v>
      </c>
      <c r="E239" s="1" t="s">
        <v>694</v>
      </c>
      <c r="F239" s="1" t="s">
        <v>115</v>
      </c>
      <c r="G239" s="1" t="s">
        <v>9</v>
      </c>
      <c r="H239" s="23">
        <v>230.95000000000002</v>
      </c>
      <c r="I239" s="23">
        <v>8660.625</v>
      </c>
      <c r="J239" s="2" t="str">
        <f t="shared" si="6"/>
        <v/>
      </c>
      <c r="K239" s="2" t="str">
        <f>IF(J239="","",I239-J239)</f>
        <v/>
      </c>
      <c r="L239" s="1" t="s">
        <v>81</v>
      </c>
      <c r="M239" s="12"/>
      <c r="N239" s="12"/>
      <c r="O239" s="12"/>
      <c r="P239" s="12"/>
      <c r="Q239" s="12"/>
      <c r="R239" s="12"/>
      <c r="S239" s="12"/>
      <c r="T239" s="12">
        <f>IF(M239="",0,INDEX(Sheet2!A$2:A$6,MATCH(M239,Sheet2!C$2:C$6,0)))</f>
        <v>0</v>
      </c>
      <c r="U239" s="12">
        <f>IF(N239="",0,INDEX(Sheet2!A$2:A$6,MATCH(N239,Sheet2!C$2:C$6,0)))</f>
        <v>0</v>
      </c>
      <c r="V239" s="12">
        <f>IF(O239="",0,INDEX(Sheet2!A$2:A$6,MATCH(O239,Sheet2!C$2:C$6,0)))</f>
        <v>0</v>
      </c>
      <c r="W239" s="12">
        <f>IF(P239="",0,INDEX(Sheet2!A$2:A$6,MATCH(P239,Sheet2!C$2:C$6,0)))</f>
        <v>0</v>
      </c>
      <c r="X239" s="12">
        <f>IF(Q239="",0,INDEX(Sheet2!A$2:A$6,MATCH(Q239,Sheet2!C$2:C$6,0)))</f>
        <v>0</v>
      </c>
      <c r="Y239" s="12">
        <f>IF(R239="",0,INDEX(Sheet2!A$2:A$6,MATCH(R239,Sheet2!C$2:C$6,0)))</f>
        <v>0</v>
      </c>
      <c r="Z239" s="12">
        <f t="shared" si="7"/>
        <v>0</v>
      </c>
      <c r="AA239" s="12" t="str">
        <f>IF(I239&gt;=7500,"E",IF(I239&gt;=6800,"D",IF(I239&gt;=4200,"C",IF(I239&gt;=3000,"B",IF(I239&gt;=750,"A","Below Slab")))))</f>
        <v>E</v>
      </c>
      <c r="AB239" s="19" t="str">
        <f>IF(I239&gt;=7500,"Samsung front-load washing machine",IF(I239&gt;=6800,"Apple iPad",IF(I239&gt;=4200,"Robot Vacuum cleaner",IF(I239&gt;=3000,"Sony - sound bar, woofer and speakers",IF(I239&gt;=750,"Foot massager","Not eligible")))))</f>
        <v>Samsung front-load washing machine</v>
      </c>
    </row>
    <row r="240" spans="1:28" customFormat="1">
      <c r="A240" s="1" t="s">
        <v>699</v>
      </c>
      <c r="B240" s="21" t="s">
        <v>700</v>
      </c>
      <c r="C240" s="21" t="s">
        <v>42</v>
      </c>
      <c r="D240" s="1" t="s">
        <v>27</v>
      </c>
      <c r="E240" s="1" t="s">
        <v>694</v>
      </c>
      <c r="F240" s="1" t="s">
        <v>115</v>
      </c>
      <c r="G240" s="1" t="s">
        <v>9</v>
      </c>
      <c r="H240" s="23">
        <v>277.71000000000004</v>
      </c>
      <c r="I240" s="23">
        <v>10414.125000000002</v>
      </c>
      <c r="J240" s="2" t="str">
        <f t="shared" si="6"/>
        <v/>
      </c>
      <c r="K240" s="2" t="str">
        <f>IF(J240="","",I240-J240)</f>
        <v/>
      </c>
      <c r="L240" s="1" t="s">
        <v>81</v>
      </c>
      <c r="M240" s="12"/>
      <c r="N240" s="12"/>
      <c r="O240" s="12"/>
      <c r="P240" s="12"/>
      <c r="Q240" s="12"/>
      <c r="R240" s="12"/>
      <c r="S240" s="12"/>
      <c r="T240" s="12">
        <f>IF(M240="",0,INDEX(Sheet2!A$2:A$6,MATCH(M240,Sheet2!C$2:C$6,0)))</f>
        <v>0</v>
      </c>
      <c r="U240" s="12">
        <f>IF(N240="",0,INDEX(Sheet2!A$2:A$6,MATCH(N240,Sheet2!C$2:C$6,0)))</f>
        <v>0</v>
      </c>
      <c r="V240" s="12">
        <f>IF(O240="",0,INDEX(Sheet2!A$2:A$6,MATCH(O240,Sheet2!C$2:C$6,0)))</f>
        <v>0</v>
      </c>
      <c r="W240" s="12">
        <f>IF(P240="",0,INDEX(Sheet2!A$2:A$6,MATCH(P240,Sheet2!C$2:C$6,0)))</f>
        <v>0</v>
      </c>
      <c r="X240" s="12">
        <f>IF(Q240="",0,INDEX(Sheet2!A$2:A$6,MATCH(Q240,Sheet2!C$2:C$6,0)))</f>
        <v>0</v>
      </c>
      <c r="Y240" s="12">
        <f>IF(R240="",0,INDEX(Sheet2!A$2:A$6,MATCH(R240,Sheet2!C$2:C$6,0)))</f>
        <v>0</v>
      </c>
      <c r="Z240" s="12">
        <f t="shared" si="7"/>
        <v>0</v>
      </c>
      <c r="AA240" s="12" t="str">
        <f>IF(I240&gt;=7500,"E",IF(I240&gt;=6800,"D",IF(I240&gt;=4200,"C",IF(I240&gt;=3000,"B",IF(I240&gt;=750,"A","Below Slab")))))</f>
        <v>E</v>
      </c>
      <c r="AB240" s="19" t="str">
        <f>IF(I240&gt;=7500,"Samsung front-load washing machine",IF(I240&gt;=6800,"Apple iPad",IF(I240&gt;=4200,"Robot Vacuum cleaner",IF(I240&gt;=3000,"Sony - sound bar, woofer and speakers",IF(I240&gt;=750,"Foot massager","Not eligible")))))</f>
        <v>Samsung front-load washing machine</v>
      </c>
    </row>
    <row r="241" spans="1:28" customFormat="1">
      <c r="A241" s="1" t="s">
        <v>701</v>
      </c>
      <c r="B241" s="21" t="s">
        <v>702</v>
      </c>
      <c r="C241" s="21" t="s">
        <v>42</v>
      </c>
      <c r="D241" s="1" t="s">
        <v>27</v>
      </c>
      <c r="E241" s="1" t="s">
        <v>694</v>
      </c>
      <c r="F241" s="1" t="s">
        <v>115</v>
      </c>
      <c r="G241" s="1" t="s">
        <v>9</v>
      </c>
      <c r="H241" s="23">
        <v>305.77999999999997</v>
      </c>
      <c r="I241" s="23">
        <v>11466.749999999998</v>
      </c>
      <c r="J241" s="2" t="str">
        <f t="shared" si="6"/>
        <v/>
      </c>
      <c r="K241" s="2" t="str">
        <f>IF(J241="","",I241-J241)</f>
        <v/>
      </c>
      <c r="L241" s="1" t="s">
        <v>81</v>
      </c>
      <c r="M241" s="12"/>
      <c r="N241" s="12"/>
      <c r="O241" s="12"/>
      <c r="P241" s="12"/>
      <c r="Q241" s="12"/>
      <c r="R241" s="12"/>
      <c r="S241" s="12"/>
      <c r="T241" s="12">
        <f>IF(M241="",0,INDEX(Sheet2!A$2:A$6,MATCH(M241,Sheet2!C$2:C$6,0)))</f>
        <v>0</v>
      </c>
      <c r="U241" s="12">
        <f>IF(N241="",0,INDEX(Sheet2!A$2:A$6,MATCH(N241,Sheet2!C$2:C$6,0)))</f>
        <v>0</v>
      </c>
      <c r="V241" s="12">
        <f>IF(O241="",0,INDEX(Sheet2!A$2:A$6,MATCH(O241,Sheet2!C$2:C$6,0)))</f>
        <v>0</v>
      </c>
      <c r="W241" s="12">
        <f>IF(P241="",0,INDEX(Sheet2!A$2:A$6,MATCH(P241,Sheet2!C$2:C$6,0)))</f>
        <v>0</v>
      </c>
      <c r="X241" s="12">
        <f>IF(Q241="",0,INDEX(Sheet2!A$2:A$6,MATCH(Q241,Sheet2!C$2:C$6,0)))</f>
        <v>0</v>
      </c>
      <c r="Y241" s="12">
        <f>IF(R241="",0,INDEX(Sheet2!A$2:A$6,MATCH(R241,Sheet2!C$2:C$6,0)))</f>
        <v>0</v>
      </c>
      <c r="Z241" s="12">
        <f t="shared" si="7"/>
        <v>0</v>
      </c>
      <c r="AA241" s="12" t="str">
        <f>IF(I241&gt;=7500,"E",IF(I241&gt;=6800,"D",IF(I241&gt;=4200,"C",IF(I241&gt;=3000,"B",IF(I241&gt;=750,"A","Below Slab")))))</f>
        <v>E</v>
      </c>
      <c r="AB241" s="19" t="str">
        <f>IF(I241&gt;=7500,"Samsung front-load washing machine",IF(I241&gt;=6800,"Apple iPad",IF(I241&gt;=4200,"Robot Vacuum cleaner",IF(I241&gt;=3000,"Sony - sound bar, woofer and speakers",IF(I241&gt;=750,"Foot massager","Not eligible")))))</f>
        <v>Samsung front-load washing machine</v>
      </c>
    </row>
    <row r="242" spans="1:28" customFormat="1">
      <c r="A242" s="1" t="s">
        <v>703</v>
      </c>
      <c r="B242" s="21" t="s">
        <v>704</v>
      </c>
      <c r="C242" s="21" t="s">
        <v>42</v>
      </c>
      <c r="D242" s="1" t="s">
        <v>27</v>
      </c>
      <c r="E242" s="1" t="s">
        <v>694</v>
      </c>
      <c r="F242" s="1" t="s">
        <v>115</v>
      </c>
      <c r="G242" s="1" t="s">
        <v>9</v>
      </c>
      <c r="H242" s="23">
        <v>35.22</v>
      </c>
      <c r="I242" s="23">
        <v>880.5</v>
      </c>
      <c r="J242" s="2" t="str">
        <f t="shared" si="6"/>
        <v/>
      </c>
      <c r="K242" s="2" t="str">
        <f>IF(J242="","",I242-J242)</f>
        <v/>
      </c>
      <c r="L242" s="1" t="s">
        <v>73</v>
      </c>
      <c r="M242" s="12"/>
      <c r="N242" s="12"/>
      <c r="O242" s="12"/>
      <c r="P242" s="12"/>
      <c r="Q242" s="12"/>
      <c r="R242" s="12"/>
      <c r="S242" s="12"/>
      <c r="T242" s="12">
        <f>IF(M242="",0,INDEX(Sheet2!A$2:A$6,MATCH(M242,Sheet2!C$2:C$6,0)))</f>
        <v>0</v>
      </c>
      <c r="U242" s="12">
        <f>IF(N242="",0,INDEX(Sheet2!A$2:A$6,MATCH(N242,Sheet2!C$2:C$6,0)))</f>
        <v>0</v>
      </c>
      <c r="V242" s="12">
        <f>IF(O242="",0,INDEX(Sheet2!A$2:A$6,MATCH(O242,Sheet2!C$2:C$6,0)))</f>
        <v>0</v>
      </c>
      <c r="W242" s="12">
        <f>IF(P242="",0,INDEX(Sheet2!A$2:A$6,MATCH(P242,Sheet2!C$2:C$6,0)))</f>
        <v>0</v>
      </c>
      <c r="X242" s="12">
        <f>IF(Q242="",0,INDEX(Sheet2!A$2:A$6,MATCH(Q242,Sheet2!C$2:C$6,0)))</f>
        <v>0</v>
      </c>
      <c r="Y242" s="12">
        <f>IF(R242="",0,INDEX(Sheet2!A$2:A$6,MATCH(R242,Sheet2!C$2:C$6,0)))</f>
        <v>0</v>
      </c>
      <c r="Z242" s="12">
        <f t="shared" si="7"/>
        <v>0</v>
      </c>
      <c r="AA242" s="12" t="str">
        <f>IF(I242&gt;=7500,"E",IF(I242&gt;=6800,"D",IF(I242&gt;=4200,"C",IF(I242&gt;=3000,"B",IF(I242&gt;=750,"A","Below Slab")))))</f>
        <v>A</v>
      </c>
      <c r="AB242" s="19" t="str">
        <f>IF(I242&gt;=7500,"Samsung front-load washing machine",IF(I242&gt;=6800,"Apple iPad",IF(I242&gt;=4200,"Robot Vacuum cleaner",IF(I242&gt;=3000,"Sony - sound bar, woofer and speakers",IF(I242&gt;=750,"Foot massager","Not eligible")))))</f>
        <v>Foot massager</v>
      </c>
    </row>
    <row r="243" spans="1:28" customFormat="1">
      <c r="A243" s="1" t="s">
        <v>705</v>
      </c>
      <c r="B243" s="21" t="s">
        <v>706</v>
      </c>
      <c r="C243" s="21" t="s">
        <v>42</v>
      </c>
      <c r="D243" s="1" t="s">
        <v>27</v>
      </c>
      <c r="E243" s="1" t="s">
        <v>707</v>
      </c>
      <c r="F243" s="1" t="s">
        <v>115</v>
      </c>
      <c r="G243" s="1" t="s">
        <v>9</v>
      </c>
      <c r="H243" s="23">
        <v>110</v>
      </c>
      <c r="I243" s="23">
        <v>3300</v>
      </c>
      <c r="J243" s="2" t="str">
        <f t="shared" si="6"/>
        <v/>
      </c>
      <c r="K243" s="2" t="str">
        <f>IF(J243="","",I243-J243)</f>
        <v/>
      </c>
      <c r="L243" s="1" t="s">
        <v>134</v>
      </c>
      <c r="M243" s="12"/>
      <c r="N243" s="12"/>
      <c r="O243" s="12"/>
      <c r="P243" s="12"/>
      <c r="Q243" s="12"/>
      <c r="R243" s="12"/>
      <c r="S243" s="12"/>
      <c r="T243" s="12">
        <f>IF(M243="",0,INDEX(Sheet2!A$2:A$6,MATCH(M243,Sheet2!C$2:C$6,0)))</f>
        <v>0</v>
      </c>
      <c r="U243" s="12">
        <f>IF(N243="",0,INDEX(Sheet2!A$2:A$6,MATCH(N243,Sheet2!C$2:C$6,0)))</f>
        <v>0</v>
      </c>
      <c r="V243" s="12">
        <f>IF(O243="",0,INDEX(Sheet2!A$2:A$6,MATCH(O243,Sheet2!C$2:C$6,0)))</f>
        <v>0</v>
      </c>
      <c r="W243" s="12">
        <f>IF(P243="",0,INDEX(Sheet2!A$2:A$6,MATCH(P243,Sheet2!C$2:C$6,0)))</f>
        <v>0</v>
      </c>
      <c r="X243" s="12">
        <f>IF(Q243="",0,INDEX(Sheet2!A$2:A$6,MATCH(Q243,Sheet2!C$2:C$6,0)))</f>
        <v>0</v>
      </c>
      <c r="Y243" s="12">
        <f>IF(R243="",0,INDEX(Sheet2!A$2:A$6,MATCH(R243,Sheet2!C$2:C$6,0)))</f>
        <v>0</v>
      </c>
      <c r="Z243" s="12">
        <f t="shared" si="7"/>
        <v>0</v>
      </c>
      <c r="AA243" s="12" t="str">
        <f>IF(I243&gt;=7500,"E",IF(I243&gt;=6800,"D",IF(I243&gt;=4200,"C",IF(I243&gt;=3000,"B",IF(I243&gt;=750,"A","Below Slab")))))</f>
        <v>B</v>
      </c>
      <c r="AB243" s="19" t="str">
        <f>IF(I243&gt;=7500,"Samsung front-load washing machine",IF(I243&gt;=6800,"Apple iPad",IF(I243&gt;=4200,"Robot Vacuum cleaner",IF(I243&gt;=3000,"Sony - sound bar, woofer and speakers",IF(I243&gt;=750,"Foot massager","Not eligible")))))</f>
        <v>Sony - sound bar, woofer and speakers</v>
      </c>
    </row>
    <row r="244" spans="1:28" customFormat="1">
      <c r="A244" s="1" t="s">
        <v>708</v>
      </c>
      <c r="B244" s="21" t="s">
        <v>709</v>
      </c>
      <c r="C244" s="21" t="s">
        <v>51</v>
      </c>
      <c r="D244" s="1" t="s">
        <v>27</v>
      </c>
      <c r="E244" s="1" t="s">
        <v>710</v>
      </c>
      <c r="F244" s="1" t="s">
        <v>115</v>
      </c>
      <c r="G244" s="1" t="s">
        <v>9</v>
      </c>
      <c r="H244" s="23">
        <v>93.06</v>
      </c>
      <c r="I244" s="23">
        <v>2559.15</v>
      </c>
      <c r="J244" s="2" t="str">
        <f t="shared" si="6"/>
        <v/>
      </c>
      <c r="K244" s="2" t="str">
        <f>IF(J244="","",I244-J244)</f>
        <v/>
      </c>
      <c r="L244" s="1" t="s">
        <v>73</v>
      </c>
      <c r="M244" s="12"/>
      <c r="N244" s="12"/>
      <c r="O244" s="12"/>
      <c r="P244" s="12"/>
      <c r="Q244" s="12"/>
      <c r="R244" s="12"/>
      <c r="S244" s="12"/>
      <c r="T244" s="12">
        <f>IF(M244="",0,INDEX(Sheet2!A$2:A$6,MATCH(M244,Sheet2!C$2:C$6,0)))</f>
        <v>0</v>
      </c>
      <c r="U244" s="12">
        <f>IF(N244="",0,INDEX(Sheet2!A$2:A$6,MATCH(N244,Sheet2!C$2:C$6,0)))</f>
        <v>0</v>
      </c>
      <c r="V244" s="12">
        <f>IF(O244="",0,INDEX(Sheet2!A$2:A$6,MATCH(O244,Sheet2!C$2:C$6,0)))</f>
        <v>0</v>
      </c>
      <c r="W244" s="12">
        <f>IF(P244="",0,INDEX(Sheet2!A$2:A$6,MATCH(P244,Sheet2!C$2:C$6,0)))</f>
        <v>0</v>
      </c>
      <c r="X244" s="12">
        <f>IF(Q244="",0,INDEX(Sheet2!A$2:A$6,MATCH(Q244,Sheet2!C$2:C$6,0)))</f>
        <v>0</v>
      </c>
      <c r="Y244" s="12">
        <f>IF(R244="",0,INDEX(Sheet2!A$2:A$6,MATCH(R244,Sheet2!C$2:C$6,0)))</f>
        <v>0</v>
      </c>
      <c r="Z244" s="12">
        <f t="shared" si="7"/>
        <v>0</v>
      </c>
      <c r="AA244" s="12" t="str">
        <f>IF(I244&gt;=7500,"E",IF(I244&gt;=6800,"D",IF(I244&gt;=4200,"C",IF(I244&gt;=3000,"B",IF(I244&gt;=750,"A","Below Slab")))))</f>
        <v>A</v>
      </c>
      <c r="AB244" s="19" t="str">
        <f>IF(I244&gt;=7500,"Samsung front-load washing machine",IF(I244&gt;=6800,"Apple iPad",IF(I244&gt;=4200,"Robot Vacuum cleaner",IF(I244&gt;=3000,"Sony - sound bar, woofer and speakers",IF(I244&gt;=750,"Foot massager","Not eligible")))))</f>
        <v>Foot massager</v>
      </c>
    </row>
    <row r="245" spans="1:28" customFormat="1">
      <c r="A245" s="1" t="s">
        <v>711</v>
      </c>
      <c r="B245" s="21" t="s">
        <v>712</v>
      </c>
      <c r="C245" s="21" t="s">
        <v>51</v>
      </c>
      <c r="D245" s="1" t="s">
        <v>27</v>
      </c>
      <c r="E245" s="1" t="s">
        <v>688</v>
      </c>
      <c r="F245" s="1" t="s">
        <v>115</v>
      </c>
      <c r="G245" s="1" t="s">
        <v>9</v>
      </c>
      <c r="H245" s="23">
        <v>59.72</v>
      </c>
      <c r="I245" s="23">
        <v>1642.3000000000002</v>
      </c>
      <c r="J245" s="2" t="str">
        <f t="shared" si="6"/>
        <v/>
      </c>
      <c r="K245" s="2" t="str">
        <f>IF(J245="","",I245-J245)</f>
        <v/>
      </c>
      <c r="L245" s="1" t="s">
        <v>73</v>
      </c>
      <c r="M245" s="12"/>
      <c r="N245" s="12"/>
      <c r="O245" s="12"/>
      <c r="P245" s="12"/>
      <c r="Q245" s="12"/>
      <c r="R245" s="12"/>
      <c r="S245" s="12"/>
      <c r="T245" s="12">
        <f>IF(M245="",0,INDEX(Sheet2!A$2:A$6,MATCH(M245,Sheet2!C$2:C$6,0)))</f>
        <v>0</v>
      </c>
      <c r="U245" s="12">
        <f>IF(N245="",0,INDEX(Sheet2!A$2:A$6,MATCH(N245,Sheet2!C$2:C$6,0)))</f>
        <v>0</v>
      </c>
      <c r="V245" s="12">
        <f>IF(O245="",0,INDEX(Sheet2!A$2:A$6,MATCH(O245,Sheet2!C$2:C$6,0)))</f>
        <v>0</v>
      </c>
      <c r="W245" s="12">
        <f>IF(P245="",0,INDEX(Sheet2!A$2:A$6,MATCH(P245,Sheet2!C$2:C$6,0)))</f>
        <v>0</v>
      </c>
      <c r="X245" s="12">
        <f>IF(Q245="",0,INDEX(Sheet2!A$2:A$6,MATCH(Q245,Sheet2!C$2:C$6,0)))</f>
        <v>0</v>
      </c>
      <c r="Y245" s="12">
        <f>IF(R245="",0,INDEX(Sheet2!A$2:A$6,MATCH(R245,Sheet2!C$2:C$6,0)))</f>
        <v>0</v>
      </c>
      <c r="Z245" s="12">
        <f t="shared" si="7"/>
        <v>0</v>
      </c>
      <c r="AA245" s="12" t="str">
        <f>IF(I245&gt;=7500,"E",IF(I245&gt;=6800,"D",IF(I245&gt;=4200,"C",IF(I245&gt;=3000,"B",IF(I245&gt;=750,"A","Below Slab")))))</f>
        <v>A</v>
      </c>
      <c r="AB245" s="19" t="str">
        <f>IF(I245&gt;=7500,"Samsung front-load washing machine",IF(I245&gt;=6800,"Apple iPad",IF(I245&gt;=4200,"Robot Vacuum cleaner",IF(I245&gt;=3000,"Sony - sound bar, woofer and speakers",IF(I245&gt;=750,"Foot massager","Not eligible")))))</f>
        <v>Foot massager</v>
      </c>
    </row>
    <row r="246" spans="1:28" customFormat="1">
      <c r="A246" s="1" t="s">
        <v>713</v>
      </c>
      <c r="B246" s="21" t="s">
        <v>714</v>
      </c>
      <c r="C246" s="21" t="s">
        <v>51</v>
      </c>
      <c r="D246" s="1" t="s">
        <v>27</v>
      </c>
      <c r="E246" s="1" t="s">
        <v>715</v>
      </c>
      <c r="F246" s="1" t="s">
        <v>115</v>
      </c>
      <c r="G246" s="1" t="s">
        <v>9</v>
      </c>
      <c r="H246" s="23">
        <v>130.92000000000002</v>
      </c>
      <c r="I246" s="23">
        <v>3927.6000000000004</v>
      </c>
      <c r="J246" s="2" t="str">
        <f t="shared" si="6"/>
        <v/>
      </c>
      <c r="K246" s="2" t="str">
        <f>IF(J246="","",I246-J246)</f>
        <v/>
      </c>
      <c r="L246" s="1" t="s">
        <v>134</v>
      </c>
      <c r="M246" s="12"/>
      <c r="N246" s="12"/>
      <c r="O246" s="12"/>
      <c r="P246" s="12"/>
      <c r="Q246" s="12"/>
      <c r="R246" s="12"/>
      <c r="S246" s="12"/>
      <c r="T246" s="12">
        <f>IF(M246="",0,INDEX(Sheet2!A$2:A$6,MATCH(M246,Sheet2!C$2:C$6,0)))</f>
        <v>0</v>
      </c>
      <c r="U246" s="12">
        <f>IF(N246="",0,INDEX(Sheet2!A$2:A$6,MATCH(N246,Sheet2!C$2:C$6,0)))</f>
        <v>0</v>
      </c>
      <c r="V246" s="12">
        <f>IF(O246="",0,INDEX(Sheet2!A$2:A$6,MATCH(O246,Sheet2!C$2:C$6,0)))</f>
        <v>0</v>
      </c>
      <c r="W246" s="12">
        <f>IF(P246="",0,INDEX(Sheet2!A$2:A$6,MATCH(P246,Sheet2!C$2:C$6,0)))</f>
        <v>0</v>
      </c>
      <c r="X246" s="12">
        <f>IF(Q246="",0,INDEX(Sheet2!A$2:A$6,MATCH(Q246,Sheet2!C$2:C$6,0)))</f>
        <v>0</v>
      </c>
      <c r="Y246" s="12">
        <f>IF(R246="",0,INDEX(Sheet2!A$2:A$6,MATCH(R246,Sheet2!C$2:C$6,0)))</f>
        <v>0</v>
      </c>
      <c r="Z246" s="12">
        <f t="shared" si="7"/>
        <v>0</v>
      </c>
      <c r="AA246" s="12" t="str">
        <f>IF(I246&gt;=7500,"E",IF(I246&gt;=6800,"D",IF(I246&gt;=4200,"C",IF(I246&gt;=3000,"B",IF(I246&gt;=750,"A","Below Slab")))))</f>
        <v>B</v>
      </c>
      <c r="AB246" s="19" t="str">
        <f>IF(I246&gt;=7500,"Samsung front-load washing machine",IF(I246&gt;=6800,"Apple iPad",IF(I246&gt;=4200,"Robot Vacuum cleaner",IF(I246&gt;=3000,"Sony - sound bar, woofer and speakers",IF(I246&gt;=750,"Foot massager","Not eligible")))))</f>
        <v>Sony - sound bar, woofer and speakers</v>
      </c>
    </row>
    <row r="247" spans="1:28" customFormat="1">
      <c r="A247" s="1" t="s">
        <v>716</v>
      </c>
      <c r="B247" s="21" t="s">
        <v>717</v>
      </c>
      <c r="C247" s="21" t="s">
        <v>51</v>
      </c>
      <c r="D247" s="1" t="s">
        <v>27</v>
      </c>
      <c r="E247" s="1" t="s">
        <v>718</v>
      </c>
      <c r="F247" s="1" t="s">
        <v>115</v>
      </c>
      <c r="G247" s="1" t="s">
        <v>9</v>
      </c>
      <c r="H247" s="23">
        <v>169.97</v>
      </c>
      <c r="I247" s="23">
        <v>5524.0250000000005</v>
      </c>
      <c r="J247" s="2" t="str">
        <f t="shared" si="6"/>
        <v/>
      </c>
      <c r="K247" s="2" t="str">
        <f>IF(J247="","",I247-J247)</f>
        <v/>
      </c>
      <c r="L247" s="1" t="s">
        <v>77</v>
      </c>
      <c r="M247" s="12"/>
      <c r="N247" s="12"/>
      <c r="O247" s="12"/>
      <c r="P247" s="12"/>
      <c r="Q247" s="12"/>
      <c r="R247" s="12"/>
      <c r="S247" s="12"/>
      <c r="T247" s="12">
        <f>IF(M247="",0,INDEX(Sheet2!A$2:A$6,MATCH(M247,Sheet2!C$2:C$6,0)))</f>
        <v>0</v>
      </c>
      <c r="U247" s="12">
        <f>IF(N247="",0,INDEX(Sheet2!A$2:A$6,MATCH(N247,Sheet2!C$2:C$6,0)))</f>
        <v>0</v>
      </c>
      <c r="V247" s="12">
        <f>IF(O247="",0,INDEX(Sheet2!A$2:A$6,MATCH(O247,Sheet2!C$2:C$6,0)))</f>
        <v>0</v>
      </c>
      <c r="W247" s="12">
        <f>IF(P247="",0,INDEX(Sheet2!A$2:A$6,MATCH(P247,Sheet2!C$2:C$6,0)))</f>
        <v>0</v>
      </c>
      <c r="X247" s="12">
        <f>IF(Q247="",0,INDEX(Sheet2!A$2:A$6,MATCH(Q247,Sheet2!C$2:C$6,0)))</f>
        <v>0</v>
      </c>
      <c r="Y247" s="12">
        <f>IF(R247="",0,INDEX(Sheet2!A$2:A$6,MATCH(R247,Sheet2!C$2:C$6,0)))</f>
        <v>0</v>
      </c>
      <c r="Z247" s="12">
        <f t="shared" si="7"/>
        <v>0</v>
      </c>
      <c r="AA247" s="12" t="str">
        <f>IF(I247&gt;=7500,"E",IF(I247&gt;=6800,"D",IF(I247&gt;=4200,"C",IF(I247&gt;=3000,"B",IF(I247&gt;=750,"A","Below Slab")))))</f>
        <v>C</v>
      </c>
      <c r="AB247" s="19" t="str">
        <f>IF(I247&gt;=7500,"Samsung front-load washing machine",IF(I247&gt;=6800,"Apple iPad",IF(I247&gt;=4200,"Robot Vacuum cleaner",IF(I247&gt;=3000,"Sony - sound bar, woofer and speakers",IF(I247&gt;=750,"Foot massager","Not eligible")))))</f>
        <v>Robot Vacuum cleaner</v>
      </c>
    </row>
    <row r="248" spans="1:28" customFormat="1">
      <c r="A248" s="1" t="s">
        <v>686</v>
      </c>
      <c r="B248" s="21" t="s">
        <v>687</v>
      </c>
      <c r="C248" s="21" t="s">
        <v>51</v>
      </c>
      <c r="D248" s="1" t="s">
        <v>27</v>
      </c>
      <c r="E248" s="1" t="s">
        <v>688</v>
      </c>
      <c r="F248" s="1" t="s">
        <v>115</v>
      </c>
      <c r="G248" s="1" t="s">
        <v>9</v>
      </c>
      <c r="H248" s="23">
        <v>141.48000000000002</v>
      </c>
      <c r="I248" s="23">
        <v>4244.4000000000005</v>
      </c>
      <c r="J248" s="2" t="str">
        <f t="shared" si="6"/>
        <v/>
      </c>
      <c r="K248" s="2" t="str">
        <f>IF(J248="","",I248-J248)</f>
        <v/>
      </c>
      <c r="L248" s="1" t="s">
        <v>77</v>
      </c>
      <c r="M248" s="12"/>
      <c r="N248" s="12"/>
      <c r="O248" s="12"/>
      <c r="P248" s="12"/>
      <c r="Q248" s="12"/>
      <c r="R248" s="12"/>
      <c r="S248" s="12"/>
      <c r="T248" s="12">
        <f>IF(M248="",0,INDEX(Sheet2!A$2:A$6,MATCH(M248,Sheet2!C$2:C$6,0)))</f>
        <v>0</v>
      </c>
      <c r="U248" s="12">
        <f>IF(N248="",0,INDEX(Sheet2!A$2:A$6,MATCH(N248,Sheet2!C$2:C$6,0)))</f>
        <v>0</v>
      </c>
      <c r="V248" s="12">
        <f>IF(O248="",0,INDEX(Sheet2!A$2:A$6,MATCH(O248,Sheet2!C$2:C$6,0)))</f>
        <v>0</v>
      </c>
      <c r="W248" s="12">
        <f>IF(P248="",0,INDEX(Sheet2!A$2:A$6,MATCH(P248,Sheet2!C$2:C$6,0)))</f>
        <v>0</v>
      </c>
      <c r="X248" s="12">
        <f>IF(Q248="",0,INDEX(Sheet2!A$2:A$6,MATCH(Q248,Sheet2!C$2:C$6,0)))</f>
        <v>0</v>
      </c>
      <c r="Y248" s="12">
        <f>IF(R248="",0,INDEX(Sheet2!A$2:A$6,MATCH(R248,Sheet2!C$2:C$6,0)))</f>
        <v>0</v>
      </c>
      <c r="Z248" s="12">
        <f t="shared" si="7"/>
        <v>0</v>
      </c>
      <c r="AA248" s="12" t="str">
        <f>IF(I248&gt;=7500,"E",IF(I248&gt;=6800,"D",IF(I248&gt;=4200,"C",IF(I248&gt;=3000,"B",IF(I248&gt;=750,"A","Below Slab")))))</f>
        <v>C</v>
      </c>
      <c r="AB248" s="19" t="str">
        <f>IF(I248&gt;=7500,"Samsung front-load washing machine",IF(I248&gt;=6800,"Apple iPad",IF(I248&gt;=4200,"Robot Vacuum cleaner",IF(I248&gt;=3000,"Sony - sound bar, woofer and speakers",IF(I248&gt;=750,"Foot massager","Not eligible")))))</f>
        <v>Robot Vacuum cleaner</v>
      </c>
    </row>
    <row r="249" spans="1:28" customFormat="1">
      <c r="A249" s="1" t="s">
        <v>719</v>
      </c>
      <c r="B249" s="21" t="s">
        <v>481</v>
      </c>
      <c r="C249" s="21" t="s">
        <v>51</v>
      </c>
      <c r="D249" s="1" t="s">
        <v>27</v>
      </c>
      <c r="E249" s="1" t="s">
        <v>710</v>
      </c>
      <c r="F249" s="1" t="s">
        <v>115</v>
      </c>
      <c r="G249" s="1" t="s">
        <v>9</v>
      </c>
      <c r="H249" s="23">
        <v>539.17999999999995</v>
      </c>
      <c r="I249" s="23">
        <v>20219.249999999996</v>
      </c>
      <c r="J249" s="2" t="str">
        <f t="shared" si="6"/>
        <v/>
      </c>
      <c r="K249" s="2" t="str">
        <f>IF(J249="","",I249-J249)</f>
        <v/>
      </c>
      <c r="L249" s="1" t="s">
        <v>81</v>
      </c>
      <c r="M249" s="12"/>
      <c r="N249" s="12"/>
      <c r="O249" s="12"/>
      <c r="P249" s="12"/>
      <c r="Q249" s="12"/>
      <c r="R249" s="12"/>
      <c r="S249" s="12"/>
      <c r="T249" s="12">
        <f>IF(M249="",0,INDEX(Sheet2!A$2:A$6,MATCH(M249,Sheet2!C$2:C$6,0)))</f>
        <v>0</v>
      </c>
      <c r="U249" s="12">
        <f>IF(N249="",0,INDEX(Sheet2!A$2:A$6,MATCH(N249,Sheet2!C$2:C$6,0)))</f>
        <v>0</v>
      </c>
      <c r="V249" s="12">
        <f>IF(O249="",0,INDEX(Sheet2!A$2:A$6,MATCH(O249,Sheet2!C$2:C$6,0)))</f>
        <v>0</v>
      </c>
      <c r="W249" s="12">
        <f>IF(P249="",0,INDEX(Sheet2!A$2:A$6,MATCH(P249,Sheet2!C$2:C$6,0)))</f>
        <v>0</v>
      </c>
      <c r="X249" s="12">
        <f>IF(Q249="",0,INDEX(Sheet2!A$2:A$6,MATCH(Q249,Sheet2!C$2:C$6,0)))</f>
        <v>0</v>
      </c>
      <c r="Y249" s="12">
        <f>IF(R249="",0,INDEX(Sheet2!A$2:A$6,MATCH(R249,Sheet2!C$2:C$6,0)))</f>
        <v>0</v>
      </c>
      <c r="Z249" s="12">
        <f t="shared" si="7"/>
        <v>0</v>
      </c>
      <c r="AA249" s="12" t="str">
        <f>IF(I249&gt;=7500,"E",IF(I249&gt;=6800,"D",IF(I249&gt;=4200,"C",IF(I249&gt;=3000,"B",IF(I249&gt;=750,"A","Below Slab")))))</f>
        <v>E</v>
      </c>
      <c r="AB249" s="19" t="str">
        <f>IF(I249&gt;=7500,"Samsung front-load washing machine",IF(I249&gt;=6800,"Apple iPad",IF(I249&gt;=4200,"Robot Vacuum cleaner",IF(I249&gt;=3000,"Sony - sound bar, woofer and speakers",IF(I249&gt;=750,"Foot massager","Not eligible")))))</f>
        <v>Samsung front-load washing machine</v>
      </c>
    </row>
    <row r="250" spans="1:28" customFormat="1">
      <c r="A250" s="1" t="s">
        <v>720</v>
      </c>
      <c r="B250" s="21" t="s">
        <v>721</v>
      </c>
      <c r="C250" s="21" t="s">
        <v>51</v>
      </c>
      <c r="D250" s="1" t="s">
        <v>27</v>
      </c>
      <c r="E250" s="1" t="s">
        <v>718</v>
      </c>
      <c r="F250" s="1" t="s">
        <v>115</v>
      </c>
      <c r="G250" s="1" t="s">
        <v>9</v>
      </c>
      <c r="H250" s="23">
        <v>227.25</v>
      </c>
      <c r="I250" s="23">
        <v>8521.875</v>
      </c>
      <c r="J250" s="2" t="str">
        <f t="shared" si="6"/>
        <v/>
      </c>
      <c r="K250" s="2" t="str">
        <f>IF(J250="","",I250-J250)</f>
        <v/>
      </c>
      <c r="L250" s="1" t="s">
        <v>81</v>
      </c>
      <c r="M250" s="12"/>
      <c r="N250" s="12"/>
      <c r="O250" s="12"/>
      <c r="P250" s="12"/>
      <c r="Q250" s="12"/>
      <c r="R250" s="12"/>
      <c r="S250" s="12"/>
      <c r="T250" s="12">
        <f>IF(M250="",0,INDEX(Sheet2!A$2:A$6,MATCH(M250,Sheet2!C$2:C$6,0)))</f>
        <v>0</v>
      </c>
      <c r="U250" s="12">
        <f>IF(N250="",0,INDEX(Sheet2!A$2:A$6,MATCH(N250,Sheet2!C$2:C$6,0)))</f>
        <v>0</v>
      </c>
      <c r="V250" s="12">
        <f>IF(O250="",0,INDEX(Sheet2!A$2:A$6,MATCH(O250,Sheet2!C$2:C$6,0)))</f>
        <v>0</v>
      </c>
      <c r="W250" s="12">
        <f>IF(P250="",0,INDEX(Sheet2!A$2:A$6,MATCH(P250,Sheet2!C$2:C$6,0)))</f>
        <v>0</v>
      </c>
      <c r="X250" s="12">
        <f>IF(Q250="",0,INDEX(Sheet2!A$2:A$6,MATCH(Q250,Sheet2!C$2:C$6,0)))</f>
        <v>0</v>
      </c>
      <c r="Y250" s="12">
        <f>IF(R250="",0,INDEX(Sheet2!A$2:A$6,MATCH(R250,Sheet2!C$2:C$6,0)))</f>
        <v>0</v>
      </c>
      <c r="Z250" s="12">
        <f t="shared" si="7"/>
        <v>0</v>
      </c>
      <c r="AA250" s="12" t="str">
        <f>IF(I250&gt;=7500,"E",IF(I250&gt;=6800,"D",IF(I250&gt;=4200,"C",IF(I250&gt;=3000,"B",IF(I250&gt;=750,"A","Below Slab")))))</f>
        <v>E</v>
      </c>
      <c r="AB250" s="19" t="str">
        <f>IF(I250&gt;=7500,"Samsung front-load washing machine",IF(I250&gt;=6800,"Apple iPad",IF(I250&gt;=4200,"Robot Vacuum cleaner",IF(I250&gt;=3000,"Sony - sound bar, woofer and speakers",IF(I250&gt;=750,"Foot massager","Not eligible")))))</f>
        <v>Samsung front-load washing machine</v>
      </c>
    </row>
    <row r="251" spans="1:28">
      <c r="A251" s="25" t="s">
        <v>722</v>
      </c>
      <c r="B251" s="26" t="s">
        <v>723</v>
      </c>
      <c r="C251" s="26" t="s">
        <v>51</v>
      </c>
      <c r="D251" s="25" t="s">
        <v>27</v>
      </c>
      <c r="E251" s="25" t="s">
        <v>718</v>
      </c>
      <c r="F251" s="25" t="s">
        <v>115</v>
      </c>
      <c r="G251" s="25" t="s">
        <v>9</v>
      </c>
      <c r="H251" s="27">
        <v>758.28000000000009</v>
      </c>
      <c r="I251" s="27">
        <v>28435.500000000007</v>
      </c>
      <c r="J251" s="2">
        <f t="shared" si="6"/>
        <v>7500</v>
      </c>
      <c r="K251" s="27">
        <f>IF(J251="","",I251-J251)</f>
        <v>20935.500000000007</v>
      </c>
      <c r="L251" s="1" t="s">
        <v>81</v>
      </c>
      <c r="M251" s="28" t="s">
        <v>81</v>
      </c>
      <c r="N251" s="28"/>
      <c r="O251" s="28"/>
      <c r="P251" s="28"/>
      <c r="Q251" s="28"/>
      <c r="R251" s="28"/>
      <c r="S251" s="28"/>
      <c r="T251" s="28">
        <f>IF(M251="",0,INDEX(Sheet2!A$2:A$6,MATCH(M251,Sheet2!C$2:C$6,0)))</f>
        <v>7500</v>
      </c>
      <c r="U251" s="28">
        <f>IF(N251="",0,INDEX(Sheet2!A$2:A$6,MATCH(N251,Sheet2!C$2:C$6,0)))</f>
        <v>0</v>
      </c>
      <c r="V251" s="28">
        <f>IF(O251="",0,INDEX(Sheet2!A$2:A$6,MATCH(O251,Sheet2!C$2:C$6,0)))</f>
        <v>0</v>
      </c>
      <c r="W251" s="28">
        <f>IF(P251="",0,INDEX(Sheet2!A$2:A$6,MATCH(P251,Sheet2!C$2:C$6,0)))</f>
        <v>0</v>
      </c>
      <c r="X251" s="28">
        <f>IF(Q251="",0,INDEX(Sheet2!A$2:A$6,MATCH(Q251,Sheet2!C$2:C$6,0)))</f>
        <v>0</v>
      </c>
      <c r="Y251" s="28">
        <f>IF(R251="",0,INDEX(Sheet2!A$2:A$6,MATCH(R251,Sheet2!C$2:C$6,0)))</f>
        <v>0</v>
      </c>
      <c r="Z251" s="12">
        <f t="shared" si="7"/>
        <v>0</v>
      </c>
      <c r="AA251" s="28" t="str">
        <f>IF(I251&gt;=7500,"E",IF(I251&gt;=6800,"D",IF(I251&gt;=4200,"C",IF(I251&gt;=3000,"B",IF(I251&gt;=750,"A","Below Slab")))))</f>
        <v>E</v>
      </c>
      <c r="AB251" s="31" t="str">
        <f>IF(I251&gt;=7500,"Samsung front-load washing machine",IF(I251&gt;=6800,"Apple iPad",IF(I251&gt;=4200,"Robot Vacuum cleaner",IF(I251&gt;=3000,"Sony - sound bar, woofer and speakers",IF(I251&gt;=750,"Foot massager","Not eligible")))))</f>
        <v>Samsung front-load washing machine</v>
      </c>
    </row>
    <row r="252" spans="1:28" customFormat="1">
      <c r="A252" s="1" t="s">
        <v>724</v>
      </c>
      <c r="B252" s="21" t="s">
        <v>725</v>
      </c>
      <c r="C252" s="21" t="s">
        <v>51</v>
      </c>
      <c r="D252" s="1" t="s">
        <v>27</v>
      </c>
      <c r="E252" s="1" t="s">
        <v>710</v>
      </c>
      <c r="F252" s="1" t="s">
        <v>115</v>
      </c>
      <c r="G252" s="1" t="s">
        <v>9</v>
      </c>
      <c r="H252" s="23">
        <v>98.82</v>
      </c>
      <c r="I252" s="23">
        <v>2717.55</v>
      </c>
      <c r="J252" s="2" t="str">
        <f t="shared" si="6"/>
        <v/>
      </c>
      <c r="K252" s="23" t="str">
        <f>IF(J252="","",I252-J252)</f>
        <v/>
      </c>
      <c r="L252" s="1" t="s">
        <v>73</v>
      </c>
      <c r="M252" s="12"/>
      <c r="N252" s="12"/>
      <c r="O252" s="12"/>
      <c r="P252" s="12"/>
      <c r="Q252" s="12"/>
      <c r="R252" s="12"/>
      <c r="S252" s="12"/>
      <c r="T252" s="12">
        <f>IF(M252="",0,INDEX(Sheet2!A$2:A$6,MATCH(M252,Sheet2!C$2:C$6,0)))</f>
        <v>0</v>
      </c>
      <c r="U252" s="12">
        <f>IF(N252="",0,INDEX(Sheet2!A$2:A$6,MATCH(N252,Sheet2!C$2:C$6,0)))</f>
        <v>0</v>
      </c>
      <c r="V252" s="12">
        <f>IF(O252="",0,INDEX(Sheet2!A$2:A$6,MATCH(O252,Sheet2!C$2:C$6,0)))</f>
        <v>0</v>
      </c>
      <c r="W252" s="12">
        <f>IF(P252="",0,INDEX(Sheet2!A$2:A$6,MATCH(P252,Sheet2!C$2:C$6,0)))</f>
        <v>0</v>
      </c>
      <c r="X252" s="12">
        <f>IF(Q252="",0,INDEX(Sheet2!A$2:A$6,MATCH(Q252,Sheet2!C$2:C$6,0)))</f>
        <v>0</v>
      </c>
      <c r="Y252" s="12">
        <f>IF(R252="",0,INDEX(Sheet2!A$2:A$6,MATCH(R252,Sheet2!C$2:C$6,0)))</f>
        <v>0</v>
      </c>
      <c r="Z252" s="12">
        <f t="shared" si="7"/>
        <v>0</v>
      </c>
      <c r="AA252" s="12" t="str">
        <f>IF(I252&gt;=7500,"E",IF(I252&gt;=6800,"D",IF(I252&gt;=4200,"C",IF(I252&gt;=3000,"B",IF(I252&gt;=750,"A","Below Slab")))))</f>
        <v>A</v>
      </c>
      <c r="AB252" s="19" t="str">
        <f>IF(I252&gt;=7500,"Samsung front-load washing machine",IF(I252&gt;=6800,"Apple iPad",IF(I252&gt;=4200,"Robot Vacuum cleaner",IF(I252&gt;=3000,"Sony - sound bar, woofer and speakers",IF(I252&gt;=750,"Foot massager","Not eligible")))))</f>
        <v>Foot massager</v>
      </c>
    </row>
    <row r="253" spans="1:28" customFormat="1">
      <c r="A253" s="1" t="s">
        <v>726</v>
      </c>
      <c r="B253" s="21" t="s">
        <v>727</v>
      </c>
      <c r="C253" s="21" t="s">
        <v>51</v>
      </c>
      <c r="D253" s="1" t="s">
        <v>27</v>
      </c>
      <c r="E253" s="1" t="s">
        <v>728</v>
      </c>
      <c r="F253" s="1" t="s">
        <v>115</v>
      </c>
      <c r="G253" s="1" t="s">
        <v>9</v>
      </c>
      <c r="H253" s="23">
        <v>576.31999999999994</v>
      </c>
      <c r="I253" s="23">
        <v>21611.999999999996</v>
      </c>
      <c r="J253" s="2" t="str">
        <f t="shared" si="6"/>
        <v/>
      </c>
      <c r="K253" s="23" t="str">
        <f>IF(J253="","",I253-J253)</f>
        <v/>
      </c>
      <c r="L253" s="1" t="s">
        <v>81</v>
      </c>
      <c r="M253" s="12"/>
      <c r="N253" s="12"/>
      <c r="O253" s="12"/>
      <c r="P253" s="12"/>
      <c r="Q253" s="12"/>
      <c r="R253" s="12"/>
      <c r="S253" s="12"/>
      <c r="T253" s="12">
        <f>IF(M253="",0,INDEX(Sheet2!A$2:A$6,MATCH(M253,Sheet2!C$2:C$6,0)))</f>
        <v>0</v>
      </c>
      <c r="U253" s="12">
        <f>IF(N253="",0,INDEX(Sheet2!A$2:A$6,MATCH(N253,Sheet2!C$2:C$6,0)))</f>
        <v>0</v>
      </c>
      <c r="V253" s="12">
        <f>IF(O253="",0,INDEX(Sheet2!A$2:A$6,MATCH(O253,Sheet2!C$2:C$6,0)))</f>
        <v>0</v>
      </c>
      <c r="W253" s="12">
        <f>IF(P253="",0,INDEX(Sheet2!A$2:A$6,MATCH(P253,Sheet2!C$2:C$6,0)))</f>
        <v>0</v>
      </c>
      <c r="X253" s="12">
        <f>IF(Q253="",0,INDEX(Sheet2!A$2:A$6,MATCH(Q253,Sheet2!C$2:C$6,0)))</f>
        <v>0</v>
      </c>
      <c r="Y253" s="12">
        <f>IF(R253="",0,INDEX(Sheet2!A$2:A$6,MATCH(R253,Sheet2!C$2:C$6,0)))</f>
        <v>0</v>
      </c>
      <c r="Z253" s="12">
        <f t="shared" si="7"/>
        <v>0</v>
      </c>
      <c r="AA253" s="12" t="str">
        <f>IF(I253&gt;=7500,"E",IF(I253&gt;=6800,"D",IF(I253&gt;=4200,"C",IF(I253&gt;=3000,"B",IF(I253&gt;=750,"A","Below Slab")))))</f>
        <v>E</v>
      </c>
      <c r="AB253" s="19" t="str">
        <f>IF(I253&gt;=7500,"Samsung front-load washing machine",IF(I253&gt;=6800,"Apple iPad",IF(I253&gt;=4200,"Robot Vacuum cleaner",IF(I253&gt;=3000,"Sony - sound bar, woofer and speakers",IF(I253&gt;=750,"Foot massager","Not eligible")))))</f>
        <v>Samsung front-load washing machine</v>
      </c>
    </row>
    <row r="254" spans="1:28" customFormat="1">
      <c r="A254" s="1" t="s">
        <v>729</v>
      </c>
      <c r="B254" s="21" t="s">
        <v>730</v>
      </c>
      <c r="C254" s="21" t="s">
        <v>51</v>
      </c>
      <c r="D254" s="1" t="s">
        <v>27</v>
      </c>
      <c r="E254" s="1" t="s">
        <v>688</v>
      </c>
      <c r="F254" s="1" t="s">
        <v>115</v>
      </c>
      <c r="G254" s="1" t="s">
        <v>9</v>
      </c>
      <c r="H254" s="23">
        <v>35.04</v>
      </c>
      <c r="I254" s="23">
        <v>876</v>
      </c>
      <c r="J254" s="2" t="str">
        <f t="shared" si="6"/>
        <v/>
      </c>
      <c r="K254" s="23" t="str">
        <f>IF(J254="","",I254-J254)</f>
        <v/>
      </c>
      <c r="L254" s="1" t="s">
        <v>73</v>
      </c>
      <c r="M254" s="12"/>
      <c r="N254" s="12"/>
      <c r="O254" s="12"/>
      <c r="P254" s="12"/>
      <c r="Q254" s="12"/>
      <c r="R254" s="12"/>
      <c r="S254" s="12"/>
      <c r="T254" s="12">
        <f>IF(M254="",0,INDEX(Sheet2!A$2:A$6,MATCH(M254,Sheet2!C$2:C$6,0)))</f>
        <v>0</v>
      </c>
      <c r="U254" s="12">
        <f>IF(N254="",0,INDEX(Sheet2!A$2:A$6,MATCH(N254,Sheet2!C$2:C$6,0)))</f>
        <v>0</v>
      </c>
      <c r="V254" s="12">
        <f>IF(O254="",0,INDEX(Sheet2!A$2:A$6,MATCH(O254,Sheet2!C$2:C$6,0)))</f>
        <v>0</v>
      </c>
      <c r="W254" s="12">
        <f>IF(P254="",0,INDEX(Sheet2!A$2:A$6,MATCH(P254,Sheet2!C$2:C$6,0)))</f>
        <v>0</v>
      </c>
      <c r="X254" s="12">
        <f>IF(Q254="",0,INDEX(Sheet2!A$2:A$6,MATCH(Q254,Sheet2!C$2:C$6,0)))</f>
        <v>0</v>
      </c>
      <c r="Y254" s="12">
        <f>IF(R254="",0,INDEX(Sheet2!A$2:A$6,MATCH(R254,Sheet2!C$2:C$6,0)))</f>
        <v>0</v>
      </c>
      <c r="Z254" s="12">
        <f t="shared" si="7"/>
        <v>0</v>
      </c>
      <c r="AA254" s="12" t="str">
        <f>IF(I254&gt;=7500,"E",IF(I254&gt;=6800,"D",IF(I254&gt;=4200,"C",IF(I254&gt;=3000,"B",IF(I254&gt;=750,"A","Below Slab")))))</f>
        <v>A</v>
      </c>
      <c r="AB254" s="19" t="str">
        <f>IF(I254&gt;=7500,"Samsung front-load washing machine",IF(I254&gt;=6800,"Apple iPad",IF(I254&gt;=4200,"Robot Vacuum cleaner",IF(I254&gt;=3000,"Sony - sound bar, woofer and speakers",IF(I254&gt;=750,"Foot massager","Not eligible")))))</f>
        <v>Foot massager</v>
      </c>
    </row>
    <row r="255" spans="1:28" customFormat="1">
      <c r="A255" s="1" t="s">
        <v>731</v>
      </c>
      <c r="B255" s="21" t="s">
        <v>732</v>
      </c>
      <c r="C255" s="21" t="s">
        <v>51</v>
      </c>
      <c r="D255" s="1" t="s">
        <v>27</v>
      </c>
      <c r="E255" s="1" t="s">
        <v>710</v>
      </c>
      <c r="F255" s="1" t="s">
        <v>115</v>
      </c>
      <c r="G255" s="1" t="s">
        <v>9</v>
      </c>
      <c r="H255" s="23">
        <v>41.86</v>
      </c>
      <c r="I255" s="23">
        <v>1046.5</v>
      </c>
      <c r="J255" s="2" t="str">
        <f t="shared" si="6"/>
        <v/>
      </c>
      <c r="K255" s="23" t="str">
        <f>IF(J255="","",I255-J255)</f>
        <v/>
      </c>
      <c r="L255" s="1" t="s">
        <v>73</v>
      </c>
      <c r="M255" s="12"/>
      <c r="N255" s="12"/>
      <c r="O255" s="12"/>
      <c r="P255" s="12"/>
      <c r="Q255" s="12"/>
      <c r="R255" s="12"/>
      <c r="S255" s="12"/>
      <c r="T255" s="12">
        <f>IF(M255="",0,INDEX(Sheet2!A$2:A$6,MATCH(M255,Sheet2!C$2:C$6,0)))</f>
        <v>0</v>
      </c>
      <c r="U255" s="12">
        <f>IF(N255="",0,INDEX(Sheet2!A$2:A$6,MATCH(N255,Sheet2!C$2:C$6,0)))</f>
        <v>0</v>
      </c>
      <c r="V255" s="12">
        <f>IF(O255="",0,INDEX(Sheet2!A$2:A$6,MATCH(O255,Sheet2!C$2:C$6,0)))</f>
        <v>0</v>
      </c>
      <c r="W255" s="12">
        <f>IF(P255="",0,INDEX(Sheet2!A$2:A$6,MATCH(P255,Sheet2!C$2:C$6,0)))</f>
        <v>0</v>
      </c>
      <c r="X255" s="12">
        <f>IF(Q255="",0,INDEX(Sheet2!A$2:A$6,MATCH(Q255,Sheet2!C$2:C$6,0)))</f>
        <v>0</v>
      </c>
      <c r="Y255" s="12">
        <f>IF(R255="",0,INDEX(Sheet2!A$2:A$6,MATCH(R255,Sheet2!C$2:C$6,0)))</f>
        <v>0</v>
      </c>
      <c r="Z255" s="12">
        <f t="shared" si="7"/>
        <v>0</v>
      </c>
      <c r="AA255" s="12" t="str">
        <f>IF(I255&gt;=7500,"E",IF(I255&gt;=6800,"D",IF(I255&gt;=4200,"C",IF(I255&gt;=3000,"B",IF(I255&gt;=750,"A","Below Slab")))))</f>
        <v>A</v>
      </c>
      <c r="AB255" s="19" t="str">
        <f>IF(I255&gt;=7500,"Samsung front-load washing machine",IF(I255&gt;=6800,"Apple iPad",IF(I255&gt;=4200,"Robot Vacuum cleaner",IF(I255&gt;=3000,"Sony - sound bar, woofer and speakers",IF(I255&gt;=750,"Foot massager","Not eligible")))))</f>
        <v>Foot massager</v>
      </c>
    </row>
    <row r="256" spans="1:28" customFormat="1">
      <c r="A256" s="1" t="s">
        <v>733</v>
      </c>
      <c r="B256" s="21" t="s">
        <v>734</v>
      </c>
      <c r="C256" s="21" t="s">
        <v>51</v>
      </c>
      <c r="D256" s="1" t="s">
        <v>27</v>
      </c>
      <c r="E256" s="1" t="s">
        <v>735</v>
      </c>
      <c r="F256" s="1" t="s">
        <v>115</v>
      </c>
      <c r="G256" s="1" t="s">
        <v>9</v>
      </c>
      <c r="H256" s="23">
        <v>30</v>
      </c>
      <c r="I256" s="23">
        <v>750</v>
      </c>
      <c r="J256" s="2" t="str">
        <f t="shared" si="6"/>
        <v/>
      </c>
      <c r="K256" s="23" t="str">
        <f>IF(J256="","",I256-J256)</f>
        <v/>
      </c>
      <c r="L256" s="1" t="s">
        <v>73</v>
      </c>
      <c r="M256" s="12"/>
      <c r="N256" s="12"/>
      <c r="O256" s="12"/>
      <c r="P256" s="12"/>
      <c r="Q256" s="12"/>
      <c r="R256" s="12"/>
      <c r="S256" s="12"/>
      <c r="T256" s="12">
        <f>IF(M256="",0,INDEX(Sheet2!A$2:A$6,MATCH(M256,Sheet2!C$2:C$6,0)))</f>
        <v>0</v>
      </c>
      <c r="U256" s="12">
        <f>IF(N256="",0,INDEX(Sheet2!A$2:A$6,MATCH(N256,Sheet2!C$2:C$6,0)))</f>
        <v>0</v>
      </c>
      <c r="V256" s="12">
        <f>IF(O256="",0,INDEX(Sheet2!A$2:A$6,MATCH(O256,Sheet2!C$2:C$6,0)))</f>
        <v>0</v>
      </c>
      <c r="W256" s="12">
        <f>IF(P256="",0,INDEX(Sheet2!A$2:A$6,MATCH(P256,Sheet2!C$2:C$6,0)))</f>
        <v>0</v>
      </c>
      <c r="X256" s="12">
        <f>IF(Q256="",0,INDEX(Sheet2!A$2:A$6,MATCH(Q256,Sheet2!C$2:C$6,0)))</f>
        <v>0</v>
      </c>
      <c r="Y256" s="12">
        <f>IF(R256="",0,INDEX(Sheet2!A$2:A$6,MATCH(R256,Sheet2!C$2:C$6,0)))</f>
        <v>0</v>
      </c>
      <c r="Z256" s="12">
        <f t="shared" si="7"/>
        <v>0</v>
      </c>
      <c r="AA256" s="12" t="str">
        <f>IF(I256&gt;=7500,"E",IF(I256&gt;=6800,"D",IF(I256&gt;=4200,"C",IF(I256&gt;=3000,"B",IF(I256&gt;=750,"A","Below Slab")))))</f>
        <v>A</v>
      </c>
      <c r="AB256" s="19" t="str">
        <f>IF(I256&gt;=7500,"Samsung front-load washing machine",IF(I256&gt;=6800,"Apple iPad",IF(I256&gt;=4200,"Robot Vacuum cleaner",IF(I256&gt;=3000,"Sony - sound bar, woofer and speakers",IF(I256&gt;=750,"Foot massager","Not eligible")))))</f>
        <v>Foot massager</v>
      </c>
    </row>
    <row r="257" spans="1:28" customFormat="1">
      <c r="A257" s="1" t="s">
        <v>736</v>
      </c>
      <c r="B257" s="21" t="s">
        <v>737</v>
      </c>
      <c r="C257" s="21" t="s">
        <v>51</v>
      </c>
      <c r="D257" s="1" t="s">
        <v>27</v>
      </c>
      <c r="E257" s="1" t="s">
        <v>710</v>
      </c>
      <c r="F257" s="1" t="s">
        <v>115</v>
      </c>
      <c r="G257" s="1" t="s">
        <v>9</v>
      </c>
      <c r="H257" s="23">
        <v>30</v>
      </c>
      <c r="I257" s="23">
        <v>750</v>
      </c>
      <c r="J257" s="2" t="str">
        <f t="shared" si="6"/>
        <v/>
      </c>
      <c r="K257" s="23" t="str">
        <f>IF(J257="","",I257-J257)</f>
        <v/>
      </c>
      <c r="L257" s="1" t="s">
        <v>73</v>
      </c>
      <c r="M257" s="12"/>
      <c r="N257" s="12"/>
      <c r="O257" s="12"/>
      <c r="P257" s="12"/>
      <c r="Q257" s="12"/>
      <c r="R257" s="12"/>
      <c r="S257" s="12"/>
      <c r="T257" s="12">
        <f>IF(M257="",0,INDEX(Sheet2!A$2:A$6,MATCH(M257,Sheet2!C$2:C$6,0)))</f>
        <v>0</v>
      </c>
      <c r="U257" s="12">
        <f>IF(N257="",0,INDEX(Sheet2!A$2:A$6,MATCH(N257,Sheet2!C$2:C$6,0)))</f>
        <v>0</v>
      </c>
      <c r="V257" s="12">
        <f>IF(O257="",0,INDEX(Sheet2!A$2:A$6,MATCH(O257,Sheet2!C$2:C$6,0)))</f>
        <v>0</v>
      </c>
      <c r="W257" s="12">
        <f>IF(P257="",0,INDEX(Sheet2!A$2:A$6,MATCH(P257,Sheet2!C$2:C$6,0)))</f>
        <v>0</v>
      </c>
      <c r="X257" s="12">
        <f>IF(Q257="",0,INDEX(Sheet2!A$2:A$6,MATCH(Q257,Sheet2!C$2:C$6,0)))</f>
        <v>0</v>
      </c>
      <c r="Y257" s="12">
        <f>IF(R257="",0,INDEX(Sheet2!A$2:A$6,MATCH(R257,Sheet2!C$2:C$6,0)))</f>
        <v>0</v>
      </c>
      <c r="Z257" s="12">
        <f t="shared" si="7"/>
        <v>0</v>
      </c>
      <c r="AA257" s="12" t="str">
        <f>IF(I257&gt;=7500,"E",IF(I257&gt;=6800,"D",IF(I257&gt;=4200,"C",IF(I257&gt;=3000,"B",IF(I257&gt;=750,"A","Below Slab")))))</f>
        <v>A</v>
      </c>
      <c r="AB257" s="19" t="str">
        <f>IF(I257&gt;=7500,"Samsung front-load washing machine",IF(I257&gt;=6800,"Apple iPad",IF(I257&gt;=4200,"Robot Vacuum cleaner",IF(I257&gt;=3000,"Sony - sound bar, woofer and speakers",IF(I257&gt;=750,"Foot massager","Not eligible")))))</f>
        <v>Foot massager</v>
      </c>
    </row>
    <row r="258" spans="1:28" customFormat="1">
      <c r="A258" s="1" t="s">
        <v>738</v>
      </c>
      <c r="B258" s="21" t="s">
        <v>739</v>
      </c>
      <c r="C258" s="21" t="s">
        <v>51</v>
      </c>
      <c r="D258" s="1" t="s">
        <v>27</v>
      </c>
      <c r="E258" s="1" t="s">
        <v>710</v>
      </c>
      <c r="F258" s="1" t="s">
        <v>115</v>
      </c>
      <c r="G258" s="1" t="s">
        <v>9</v>
      </c>
      <c r="H258" s="23">
        <v>124.96</v>
      </c>
      <c r="I258" s="23">
        <v>3748.7999999999997</v>
      </c>
      <c r="J258" s="2" t="str">
        <f t="shared" si="6"/>
        <v/>
      </c>
      <c r="K258" s="23" t="str">
        <f>IF(J258="","",I258-J258)</f>
        <v/>
      </c>
      <c r="L258" s="1" t="s">
        <v>134</v>
      </c>
      <c r="M258" s="12"/>
      <c r="N258" s="12"/>
      <c r="O258" s="12"/>
      <c r="P258" s="12"/>
      <c r="Q258" s="12"/>
      <c r="R258" s="12"/>
      <c r="S258" s="12"/>
      <c r="T258" s="12">
        <f>IF(M258="",0,INDEX(Sheet2!A$2:A$6,MATCH(M258,Sheet2!C$2:C$6,0)))</f>
        <v>0</v>
      </c>
      <c r="U258" s="12">
        <f>IF(N258="",0,INDEX(Sheet2!A$2:A$6,MATCH(N258,Sheet2!C$2:C$6,0)))</f>
        <v>0</v>
      </c>
      <c r="V258" s="12">
        <f>IF(O258="",0,INDEX(Sheet2!A$2:A$6,MATCH(O258,Sheet2!C$2:C$6,0)))</f>
        <v>0</v>
      </c>
      <c r="W258" s="12">
        <f>IF(P258="",0,INDEX(Sheet2!A$2:A$6,MATCH(P258,Sheet2!C$2:C$6,0)))</f>
        <v>0</v>
      </c>
      <c r="X258" s="12">
        <f>IF(Q258="",0,INDEX(Sheet2!A$2:A$6,MATCH(Q258,Sheet2!C$2:C$6,0)))</f>
        <v>0</v>
      </c>
      <c r="Y258" s="12">
        <f>IF(R258="",0,INDEX(Sheet2!A$2:A$6,MATCH(R258,Sheet2!C$2:C$6,0)))</f>
        <v>0</v>
      </c>
      <c r="Z258" s="12">
        <f t="shared" si="7"/>
        <v>0</v>
      </c>
      <c r="AA258" s="12" t="str">
        <f>IF(I258&gt;=7500,"E",IF(I258&gt;=6800,"D",IF(I258&gt;=4200,"C",IF(I258&gt;=3000,"B",IF(I258&gt;=750,"A","Below Slab")))))</f>
        <v>B</v>
      </c>
      <c r="AB258" s="19" t="str">
        <f>IF(I258&gt;=7500,"Samsung front-load washing machine",IF(I258&gt;=6800,"Apple iPad",IF(I258&gt;=4200,"Robot Vacuum cleaner",IF(I258&gt;=3000,"Sony - sound bar, woofer and speakers",IF(I258&gt;=750,"Foot massager","Not eligible")))))</f>
        <v>Sony - sound bar, woofer and speakers</v>
      </c>
    </row>
    <row r="259" spans="1:28" customFormat="1">
      <c r="A259" s="1" t="s">
        <v>740</v>
      </c>
      <c r="B259" s="21" t="s">
        <v>741</v>
      </c>
      <c r="C259" s="21" t="s">
        <v>51</v>
      </c>
      <c r="D259" s="1" t="s">
        <v>27</v>
      </c>
      <c r="E259" s="1" t="s">
        <v>742</v>
      </c>
      <c r="F259" s="1" t="s">
        <v>115</v>
      </c>
      <c r="G259" s="1" t="s">
        <v>9</v>
      </c>
      <c r="H259" s="23">
        <v>30</v>
      </c>
      <c r="I259" s="23">
        <v>750</v>
      </c>
      <c r="J259" s="2" t="str">
        <f t="shared" ref="J259:J293" si="8">IF(SUM(T259:Z259)=0,"",SUM(T259:Z259))</f>
        <v/>
      </c>
      <c r="K259" s="23" t="str">
        <f>IF(J259="","",I259-J259)</f>
        <v/>
      </c>
      <c r="L259" s="1" t="s">
        <v>73</v>
      </c>
      <c r="M259" s="12"/>
      <c r="N259" s="12"/>
      <c r="O259" s="12"/>
      <c r="P259" s="12"/>
      <c r="Q259" s="12"/>
      <c r="R259" s="12"/>
      <c r="S259" s="12"/>
      <c r="T259" s="12">
        <f>IF(M259="",0,INDEX(Sheet2!A$2:A$6,MATCH(M259,Sheet2!C$2:C$6,0)))</f>
        <v>0</v>
      </c>
      <c r="U259" s="12">
        <f>IF(N259="",0,INDEX(Sheet2!A$2:A$6,MATCH(N259,Sheet2!C$2:C$6,0)))</f>
        <v>0</v>
      </c>
      <c r="V259" s="12">
        <f>IF(O259="",0,INDEX(Sheet2!A$2:A$6,MATCH(O259,Sheet2!C$2:C$6,0)))</f>
        <v>0</v>
      </c>
      <c r="W259" s="12">
        <f>IF(P259="",0,INDEX(Sheet2!A$2:A$6,MATCH(P259,Sheet2!C$2:C$6,0)))</f>
        <v>0</v>
      </c>
      <c r="X259" s="12">
        <f>IF(Q259="",0,INDEX(Sheet2!A$2:A$6,MATCH(Q259,Sheet2!C$2:C$6,0)))</f>
        <v>0</v>
      </c>
      <c r="Y259" s="12">
        <f>IF(R259="",0,INDEX(Sheet2!A$2:A$6,MATCH(R259,Sheet2!C$2:C$6,0)))</f>
        <v>0</v>
      </c>
      <c r="Z259" s="12">
        <f t="shared" ref="Z259:Z293" si="9">IF(S259="Yes",I259-SUM(T259:Y259),0)</f>
        <v>0</v>
      </c>
      <c r="AA259" s="12" t="str">
        <f>IF(I259&gt;=7500,"E",IF(I259&gt;=6800,"D",IF(I259&gt;=4200,"C",IF(I259&gt;=3000,"B",IF(I259&gt;=750,"A","Below Slab")))))</f>
        <v>A</v>
      </c>
      <c r="AB259" s="19" t="str">
        <f>IF(I259&gt;=7500,"Samsung front-load washing machine",IF(I259&gt;=6800,"Apple iPad",IF(I259&gt;=4200,"Robot Vacuum cleaner",IF(I259&gt;=3000,"Sony - sound bar, woofer and speakers",IF(I259&gt;=750,"Foot massager","Not eligible")))))</f>
        <v>Foot massager</v>
      </c>
    </row>
    <row r="260" spans="1:28" customFormat="1">
      <c r="A260" s="1" t="s">
        <v>743</v>
      </c>
      <c r="B260" s="21" t="s">
        <v>744</v>
      </c>
      <c r="C260" s="21" t="s">
        <v>57</v>
      </c>
      <c r="D260" s="1" t="s">
        <v>27</v>
      </c>
      <c r="E260" s="1" t="s">
        <v>745</v>
      </c>
      <c r="F260" s="1" t="s">
        <v>115</v>
      </c>
      <c r="G260" s="1" t="s">
        <v>9</v>
      </c>
      <c r="H260" s="23">
        <v>106.62</v>
      </c>
      <c r="I260" s="23">
        <v>3198.6</v>
      </c>
      <c r="J260" s="2" t="str">
        <f t="shared" si="8"/>
        <v/>
      </c>
      <c r="K260" s="23" t="str">
        <f>IF(J260="","",I260-J260)</f>
        <v/>
      </c>
      <c r="L260" s="1" t="s">
        <v>134</v>
      </c>
      <c r="M260" s="12"/>
      <c r="N260" s="12"/>
      <c r="O260" s="12"/>
      <c r="P260" s="12"/>
      <c r="Q260" s="12"/>
      <c r="R260" s="12"/>
      <c r="S260" s="12"/>
      <c r="T260" s="12">
        <f>IF(M260="",0,INDEX(Sheet2!A$2:A$6,MATCH(M260,Sheet2!C$2:C$6,0)))</f>
        <v>0</v>
      </c>
      <c r="U260" s="12">
        <f>IF(N260="",0,INDEX(Sheet2!A$2:A$6,MATCH(N260,Sheet2!C$2:C$6,0)))</f>
        <v>0</v>
      </c>
      <c r="V260" s="12">
        <f>IF(O260="",0,INDEX(Sheet2!A$2:A$6,MATCH(O260,Sheet2!C$2:C$6,0)))</f>
        <v>0</v>
      </c>
      <c r="W260" s="12">
        <f>IF(P260="",0,INDEX(Sheet2!A$2:A$6,MATCH(P260,Sheet2!C$2:C$6,0)))</f>
        <v>0</v>
      </c>
      <c r="X260" s="12">
        <f>IF(Q260="",0,INDEX(Sheet2!A$2:A$6,MATCH(Q260,Sheet2!C$2:C$6,0)))</f>
        <v>0</v>
      </c>
      <c r="Y260" s="12">
        <f>IF(R260="",0,INDEX(Sheet2!A$2:A$6,MATCH(R260,Sheet2!C$2:C$6,0)))</f>
        <v>0</v>
      </c>
      <c r="Z260" s="12">
        <f t="shared" si="9"/>
        <v>0</v>
      </c>
      <c r="AA260" s="12" t="str">
        <f>IF(I260&gt;=7500,"E",IF(I260&gt;=6800,"D",IF(I260&gt;=4200,"C",IF(I260&gt;=3000,"B",IF(I260&gt;=750,"A","Below Slab")))))</f>
        <v>B</v>
      </c>
      <c r="AB260" s="19" t="str">
        <f>IF(I260&gt;=7500,"Samsung front-load washing machine",IF(I260&gt;=6800,"Apple iPad",IF(I260&gt;=4200,"Robot Vacuum cleaner",IF(I260&gt;=3000,"Sony - sound bar, woofer and speakers",IF(I260&gt;=750,"Foot massager","Not eligible")))))</f>
        <v>Sony - sound bar, woofer and speakers</v>
      </c>
    </row>
    <row r="261" spans="1:28" customFormat="1">
      <c r="A261" s="1" t="s">
        <v>746</v>
      </c>
      <c r="B261" s="21" t="s">
        <v>747</v>
      </c>
      <c r="C261" s="21" t="s">
        <v>57</v>
      </c>
      <c r="D261" s="1" t="s">
        <v>27</v>
      </c>
      <c r="E261" s="1" t="s">
        <v>718</v>
      </c>
      <c r="F261" s="1" t="s">
        <v>115</v>
      </c>
      <c r="G261" s="1" t="s">
        <v>9</v>
      </c>
      <c r="H261" s="23">
        <v>39.01</v>
      </c>
      <c r="I261" s="23">
        <v>975.25</v>
      </c>
      <c r="J261" s="2" t="str">
        <f t="shared" si="8"/>
        <v/>
      </c>
      <c r="K261" s="23" t="str">
        <f>IF(J261="","",I261-J261)</f>
        <v/>
      </c>
      <c r="L261" s="1" t="s">
        <v>73</v>
      </c>
      <c r="M261" s="12"/>
      <c r="N261" s="12"/>
      <c r="O261" s="12"/>
      <c r="P261" s="12"/>
      <c r="Q261" s="12"/>
      <c r="R261" s="12"/>
      <c r="S261" s="12"/>
      <c r="T261" s="12">
        <f>IF(M261="",0,INDEX(Sheet2!A$2:A$6,MATCH(M261,Sheet2!C$2:C$6,0)))</f>
        <v>0</v>
      </c>
      <c r="U261" s="12">
        <f>IF(N261="",0,INDEX(Sheet2!A$2:A$6,MATCH(N261,Sheet2!C$2:C$6,0)))</f>
        <v>0</v>
      </c>
      <c r="V261" s="12">
        <f>IF(O261="",0,INDEX(Sheet2!A$2:A$6,MATCH(O261,Sheet2!C$2:C$6,0)))</f>
        <v>0</v>
      </c>
      <c r="W261" s="12">
        <f>IF(P261="",0,INDEX(Sheet2!A$2:A$6,MATCH(P261,Sheet2!C$2:C$6,0)))</f>
        <v>0</v>
      </c>
      <c r="X261" s="12">
        <f>IF(Q261="",0,INDEX(Sheet2!A$2:A$6,MATCH(Q261,Sheet2!C$2:C$6,0)))</f>
        <v>0</v>
      </c>
      <c r="Y261" s="12">
        <f>IF(R261="",0,INDEX(Sheet2!A$2:A$6,MATCH(R261,Sheet2!C$2:C$6,0)))</f>
        <v>0</v>
      </c>
      <c r="Z261" s="12">
        <f t="shared" si="9"/>
        <v>0</v>
      </c>
      <c r="AA261" s="12" t="str">
        <f>IF(I261&gt;=7500,"E",IF(I261&gt;=6800,"D",IF(I261&gt;=4200,"C",IF(I261&gt;=3000,"B",IF(I261&gt;=750,"A","Below Slab")))))</f>
        <v>A</v>
      </c>
      <c r="AB261" s="19" t="str">
        <f>IF(I261&gt;=7500,"Samsung front-load washing machine",IF(I261&gt;=6800,"Apple iPad",IF(I261&gt;=4200,"Robot Vacuum cleaner",IF(I261&gt;=3000,"Sony - sound bar, woofer and speakers",IF(I261&gt;=750,"Foot massager","Not eligible")))))</f>
        <v>Foot massager</v>
      </c>
    </row>
    <row r="262" spans="1:28" customFormat="1">
      <c r="A262" s="1" t="s">
        <v>738</v>
      </c>
      <c r="B262" s="21" t="s">
        <v>739</v>
      </c>
      <c r="C262" s="21" t="s">
        <v>57</v>
      </c>
      <c r="D262" s="1" t="s">
        <v>27</v>
      </c>
      <c r="E262" s="1" t="s">
        <v>710</v>
      </c>
      <c r="F262" s="1" t="s">
        <v>115</v>
      </c>
      <c r="G262" s="1" t="s">
        <v>9</v>
      </c>
      <c r="H262" s="23">
        <v>124.96</v>
      </c>
      <c r="I262" s="23">
        <v>3748.7999999999997</v>
      </c>
      <c r="J262" s="2" t="str">
        <f t="shared" si="8"/>
        <v/>
      </c>
      <c r="K262" s="23" t="str">
        <f>IF(J262="","",I262-J262)</f>
        <v/>
      </c>
      <c r="L262" s="1" t="s">
        <v>134</v>
      </c>
      <c r="M262" s="12"/>
      <c r="N262" s="12"/>
      <c r="O262" s="12"/>
      <c r="P262" s="12"/>
      <c r="Q262" s="12"/>
      <c r="R262" s="12"/>
      <c r="S262" s="12"/>
      <c r="T262" s="12">
        <f>IF(M262="",0,INDEX(Sheet2!A$2:A$6,MATCH(M262,Sheet2!C$2:C$6,0)))</f>
        <v>0</v>
      </c>
      <c r="U262" s="12">
        <f>IF(N262="",0,INDEX(Sheet2!A$2:A$6,MATCH(N262,Sheet2!C$2:C$6,0)))</f>
        <v>0</v>
      </c>
      <c r="V262" s="12">
        <f>IF(O262="",0,INDEX(Sheet2!A$2:A$6,MATCH(O262,Sheet2!C$2:C$6,0)))</f>
        <v>0</v>
      </c>
      <c r="W262" s="12">
        <f>IF(P262="",0,INDEX(Sheet2!A$2:A$6,MATCH(P262,Sheet2!C$2:C$6,0)))</f>
        <v>0</v>
      </c>
      <c r="X262" s="12">
        <f>IF(Q262="",0,INDEX(Sheet2!A$2:A$6,MATCH(Q262,Sheet2!C$2:C$6,0)))</f>
        <v>0</v>
      </c>
      <c r="Y262" s="12">
        <f>IF(R262="",0,INDEX(Sheet2!A$2:A$6,MATCH(R262,Sheet2!C$2:C$6,0)))</f>
        <v>0</v>
      </c>
      <c r="Z262" s="12">
        <f t="shared" si="9"/>
        <v>0</v>
      </c>
      <c r="AA262" s="12" t="str">
        <f>IF(I262&gt;=7500,"E",IF(I262&gt;=6800,"D",IF(I262&gt;=4200,"C",IF(I262&gt;=3000,"B",IF(I262&gt;=750,"A","Below Slab")))))</f>
        <v>B</v>
      </c>
      <c r="AB262" s="19" t="str">
        <f>IF(I262&gt;=7500,"Samsung front-load washing machine",IF(I262&gt;=6800,"Apple iPad",IF(I262&gt;=4200,"Robot Vacuum cleaner",IF(I262&gt;=3000,"Sony - sound bar, woofer and speakers",IF(I262&gt;=750,"Foot massager","Not eligible")))))</f>
        <v>Sony - sound bar, woofer and speakers</v>
      </c>
    </row>
    <row r="263" spans="1:28" customFormat="1">
      <c r="A263" s="1" t="s">
        <v>748</v>
      </c>
      <c r="B263" s="21" t="s">
        <v>749</v>
      </c>
      <c r="C263" s="21" t="s">
        <v>57</v>
      </c>
      <c r="D263" s="1" t="s">
        <v>27</v>
      </c>
      <c r="E263" s="1" t="s">
        <v>648</v>
      </c>
      <c r="F263" s="1" t="s">
        <v>115</v>
      </c>
      <c r="G263" s="1" t="s">
        <v>9</v>
      </c>
      <c r="H263" s="23">
        <v>349.54</v>
      </c>
      <c r="I263" s="23">
        <v>13107.75</v>
      </c>
      <c r="J263" s="2" t="str">
        <f t="shared" si="8"/>
        <v/>
      </c>
      <c r="K263" s="23" t="str">
        <f>IF(J263="","",I263-J263)</f>
        <v/>
      </c>
      <c r="L263" s="1" t="s">
        <v>81</v>
      </c>
      <c r="M263" s="12"/>
      <c r="N263" s="12"/>
      <c r="O263" s="12"/>
      <c r="P263" s="12"/>
      <c r="Q263" s="12"/>
      <c r="R263" s="12"/>
      <c r="S263" s="12"/>
      <c r="T263" s="12">
        <f>IF(M263="",0,INDEX(Sheet2!A$2:A$6,MATCH(M263,Sheet2!C$2:C$6,0)))</f>
        <v>0</v>
      </c>
      <c r="U263" s="12">
        <f>IF(N263="",0,INDEX(Sheet2!A$2:A$6,MATCH(N263,Sheet2!C$2:C$6,0)))</f>
        <v>0</v>
      </c>
      <c r="V263" s="12">
        <f>IF(O263="",0,INDEX(Sheet2!A$2:A$6,MATCH(O263,Sheet2!C$2:C$6,0)))</f>
        <v>0</v>
      </c>
      <c r="W263" s="12">
        <f>IF(P263="",0,INDEX(Sheet2!A$2:A$6,MATCH(P263,Sheet2!C$2:C$6,0)))</f>
        <v>0</v>
      </c>
      <c r="X263" s="12">
        <f>IF(Q263="",0,INDEX(Sheet2!A$2:A$6,MATCH(Q263,Sheet2!C$2:C$6,0)))</f>
        <v>0</v>
      </c>
      <c r="Y263" s="12">
        <f>IF(R263="",0,INDEX(Sheet2!A$2:A$6,MATCH(R263,Sheet2!C$2:C$6,0)))</f>
        <v>0</v>
      </c>
      <c r="Z263" s="12">
        <f t="shared" si="9"/>
        <v>0</v>
      </c>
      <c r="AA263" s="12" t="str">
        <f>IF(I263&gt;=7500,"E",IF(I263&gt;=6800,"D",IF(I263&gt;=4200,"C",IF(I263&gt;=3000,"B",IF(I263&gt;=750,"A","Below Slab")))))</f>
        <v>E</v>
      </c>
      <c r="AB263" s="19" t="str">
        <f>IF(I263&gt;=7500,"Samsung front-load washing machine",IF(I263&gt;=6800,"Apple iPad",IF(I263&gt;=4200,"Robot Vacuum cleaner",IF(I263&gt;=3000,"Sony - sound bar, woofer and speakers",IF(I263&gt;=750,"Foot massager","Not eligible")))))</f>
        <v>Samsung front-load washing machine</v>
      </c>
    </row>
    <row r="264" spans="1:28" customFormat="1">
      <c r="A264" s="1" t="s">
        <v>750</v>
      </c>
      <c r="B264" s="21" t="s">
        <v>751</v>
      </c>
      <c r="C264" s="21" t="s">
        <v>57</v>
      </c>
      <c r="D264" s="1" t="s">
        <v>27</v>
      </c>
      <c r="E264" s="1" t="s">
        <v>718</v>
      </c>
      <c r="F264" s="1" t="s">
        <v>115</v>
      </c>
      <c r="G264" s="1" t="s">
        <v>9</v>
      </c>
      <c r="H264" s="23">
        <v>232.34</v>
      </c>
      <c r="I264" s="23">
        <v>8712.75</v>
      </c>
      <c r="J264" s="2" t="str">
        <f t="shared" si="8"/>
        <v/>
      </c>
      <c r="K264" s="23" t="str">
        <f>IF(J264="","",I264-J264)</f>
        <v/>
      </c>
      <c r="L264" s="1" t="s">
        <v>81</v>
      </c>
      <c r="M264" s="12"/>
      <c r="N264" s="12"/>
      <c r="O264" s="12"/>
      <c r="P264" s="12"/>
      <c r="Q264" s="12"/>
      <c r="R264" s="12"/>
      <c r="S264" s="12"/>
      <c r="T264" s="12">
        <f>IF(M264="",0,INDEX(Sheet2!A$2:A$6,MATCH(M264,Sheet2!C$2:C$6,0)))</f>
        <v>0</v>
      </c>
      <c r="U264" s="12">
        <f>IF(N264="",0,INDEX(Sheet2!A$2:A$6,MATCH(N264,Sheet2!C$2:C$6,0)))</f>
        <v>0</v>
      </c>
      <c r="V264" s="12">
        <f>IF(O264="",0,INDEX(Sheet2!A$2:A$6,MATCH(O264,Sheet2!C$2:C$6,0)))</f>
        <v>0</v>
      </c>
      <c r="W264" s="12">
        <f>IF(P264="",0,INDEX(Sheet2!A$2:A$6,MATCH(P264,Sheet2!C$2:C$6,0)))</f>
        <v>0</v>
      </c>
      <c r="X264" s="12">
        <f>IF(Q264="",0,INDEX(Sheet2!A$2:A$6,MATCH(Q264,Sheet2!C$2:C$6,0)))</f>
        <v>0</v>
      </c>
      <c r="Y264" s="12">
        <f>IF(R264="",0,INDEX(Sheet2!A$2:A$6,MATCH(R264,Sheet2!C$2:C$6,0)))</f>
        <v>0</v>
      </c>
      <c r="Z264" s="12">
        <f t="shared" si="9"/>
        <v>0</v>
      </c>
      <c r="AA264" s="12" t="str">
        <f>IF(I264&gt;=7500,"E",IF(I264&gt;=6800,"D",IF(I264&gt;=4200,"C",IF(I264&gt;=3000,"B",IF(I264&gt;=750,"A","Below Slab")))))</f>
        <v>E</v>
      </c>
      <c r="AB264" s="19" t="str">
        <f>IF(I264&gt;=7500,"Samsung front-load washing machine",IF(I264&gt;=6800,"Apple iPad",IF(I264&gt;=4200,"Robot Vacuum cleaner",IF(I264&gt;=3000,"Sony - sound bar, woofer and speakers",IF(I264&gt;=750,"Foot massager","Not eligible")))))</f>
        <v>Samsung front-load washing machine</v>
      </c>
    </row>
    <row r="265" spans="1:28" customFormat="1">
      <c r="A265" s="1" t="s">
        <v>752</v>
      </c>
      <c r="B265" s="21" t="s">
        <v>753</v>
      </c>
      <c r="C265" s="21" t="s">
        <v>57</v>
      </c>
      <c r="D265" s="1" t="s">
        <v>27</v>
      </c>
      <c r="E265" s="1" t="s">
        <v>718</v>
      </c>
      <c r="F265" s="1" t="s">
        <v>115</v>
      </c>
      <c r="G265" s="1" t="s">
        <v>9</v>
      </c>
      <c r="H265" s="23">
        <v>191.85</v>
      </c>
      <c r="I265" s="23">
        <v>6235.125</v>
      </c>
      <c r="J265" s="2" t="str">
        <f t="shared" si="8"/>
        <v/>
      </c>
      <c r="K265" s="23" t="str">
        <f>IF(J265="","",I265-J265)</f>
        <v/>
      </c>
      <c r="L265" s="1" t="s">
        <v>77</v>
      </c>
      <c r="M265" s="12"/>
      <c r="N265" s="12"/>
      <c r="O265" s="12"/>
      <c r="P265" s="12"/>
      <c r="Q265" s="12"/>
      <c r="R265" s="12"/>
      <c r="S265" s="12"/>
      <c r="T265" s="12">
        <f>IF(M265="",0,INDEX(Sheet2!A$2:A$6,MATCH(M265,Sheet2!C$2:C$6,0)))</f>
        <v>0</v>
      </c>
      <c r="U265" s="12">
        <f>IF(N265="",0,INDEX(Sheet2!A$2:A$6,MATCH(N265,Sheet2!C$2:C$6,0)))</f>
        <v>0</v>
      </c>
      <c r="V265" s="12">
        <f>IF(O265="",0,INDEX(Sheet2!A$2:A$6,MATCH(O265,Sheet2!C$2:C$6,0)))</f>
        <v>0</v>
      </c>
      <c r="W265" s="12">
        <f>IF(P265="",0,INDEX(Sheet2!A$2:A$6,MATCH(P265,Sheet2!C$2:C$6,0)))</f>
        <v>0</v>
      </c>
      <c r="X265" s="12">
        <f>IF(Q265="",0,INDEX(Sheet2!A$2:A$6,MATCH(Q265,Sheet2!C$2:C$6,0)))</f>
        <v>0</v>
      </c>
      <c r="Y265" s="12">
        <f>IF(R265="",0,INDEX(Sheet2!A$2:A$6,MATCH(R265,Sheet2!C$2:C$6,0)))</f>
        <v>0</v>
      </c>
      <c r="Z265" s="12">
        <f t="shared" si="9"/>
        <v>0</v>
      </c>
      <c r="AA265" s="12" t="str">
        <f>IF(I265&gt;=7500,"E",IF(I265&gt;=6800,"D",IF(I265&gt;=4200,"C",IF(I265&gt;=3000,"B",IF(I265&gt;=750,"A","Below Slab")))))</f>
        <v>C</v>
      </c>
      <c r="AB265" s="19" t="str">
        <f>IF(I265&gt;=7500,"Samsung front-load washing machine",IF(I265&gt;=6800,"Apple iPad",IF(I265&gt;=4200,"Robot Vacuum cleaner",IF(I265&gt;=3000,"Sony - sound bar, woofer and speakers",IF(I265&gt;=750,"Foot massager","Not eligible")))))</f>
        <v>Robot Vacuum cleaner</v>
      </c>
    </row>
    <row r="266" spans="1:28" customFormat="1">
      <c r="A266" s="1" t="s">
        <v>754</v>
      </c>
      <c r="B266" s="21" t="s">
        <v>755</v>
      </c>
      <c r="C266" s="21" t="s">
        <v>57</v>
      </c>
      <c r="D266" s="1" t="s">
        <v>27</v>
      </c>
      <c r="E266" s="1" t="s">
        <v>718</v>
      </c>
      <c r="F266" s="1" t="s">
        <v>115</v>
      </c>
      <c r="G266" s="1" t="s">
        <v>9</v>
      </c>
      <c r="H266" s="23">
        <v>64.900000000000006</v>
      </c>
      <c r="I266" s="23">
        <v>1784.7500000000005</v>
      </c>
      <c r="J266" s="2" t="str">
        <f t="shared" si="8"/>
        <v/>
      </c>
      <c r="K266" s="23" t="str">
        <f>IF(J266="","",I266-J266)</f>
        <v/>
      </c>
      <c r="L266" s="1" t="s">
        <v>73</v>
      </c>
      <c r="M266" s="12"/>
      <c r="N266" s="12"/>
      <c r="O266" s="12"/>
      <c r="P266" s="12"/>
      <c r="Q266" s="12"/>
      <c r="R266" s="12"/>
      <c r="S266" s="12"/>
      <c r="T266" s="12">
        <f>IF(M266="",0,INDEX(Sheet2!A$2:A$6,MATCH(M266,Sheet2!C$2:C$6,0)))</f>
        <v>0</v>
      </c>
      <c r="U266" s="12">
        <f>IF(N266="",0,INDEX(Sheet2!A$2:A$6,MATCH(N266,Sheet2!C$2:C$6,0)))</f>
        <v>0</v>
      </c>
      <c r="V266" s="12">
        <f>IF(O266="",0,INDEX(Sheet2!A$2:A$6,MATCH(O266,Sheet2!C$2:C$6,0)))</f>
        <v>0</v>
      </c>
      <c r="W266" s="12">
        <f>IF(P266="",0,INDEX(Sheet2!A$2:A$6,MATCH(P266,Sheet2!C$2:C$6,0)))</f>
        <v>0</v>
      </c>
      <c r="X266" s="12">
        <f>IF(Q266="",0,INDEX(Sheet2!A$2:A$6,MATCH(Q266,Sheet2!C$2:C$6,0)))</f>
        <v>0</v>
      </c>
      <c r="Y266" s="12">
        <f>IF(R266="",0,INDEX(Sheet2!A$2:A$6,MATCH(R266,Sheet2!C$2:C$6,0)))</f>
        <v>0</v>
      </c>
      <c r="Z266" s="12">
        <f t="shared" si="9"/>
        <v>0</v>
      </c>
      <c r="AA266" s="12" t="str">
        <f>IF(I266&gt;=7500,"E",IF(I266&gt;=6800,"D",IF(I266&gt;=4200,"C",IF(I266&gt;=3000,"B",IF(I266&gt;=750,"A","Below Slab")))))</f>
        <v>A</v>
      </c>
      <c r="AB266" s="19" t="str">
        <f>IF(I266&gt;=7500,"Samsung front-load washing machine",IF(I266&gt;=6800,"Apple iPad",IF(I266&gt;=4200,"Robot Vacuum cleaner",IF(I266&gt;=3000,"Sony - sound bar, woofer and speakers",IF(I266&gt;=750,"Foot massager","Not eligible")))))</f>
        <v>Foot massager</v>
      </c>
    </row>
    <row r="267" spans="1:28" customFormat="1">
      <c r="A267" s="1" t="s">
        <v>756</v>
      </c>
      <c r="B267" s="21" t="s">
        <v>757</v>
      </c>
      <c r="C267" s="21" t="s">
        <v>57</v>
      </c>
      <c r="D267" s="1" t="s">
        <v>27</v>
      </c>
      <c r="E267" s="1" t="s">
        <v>718</v>
      </c>
      <c r="F267" s="1" t="s">
        <v>115</v>
      </c>
      <c r="G267" s="1" t="s">
        <v>9</v>
      </c>
      <c r="H267" s="23">
        <v>132.12</v>
      </c>
      <c r="I267" s="23">
        <v>3963.6</v>
      </c>
      <c r="J267" s="2" t="str">
        <f t="shared" si="8"/>
        <v/>
      </c>
      <c r="K267" s="23" t="str">
        <f>IF(J267="","",I267-J267)</f>
        <v/>
      </c>
      <c r="L267" s="1" t="s">
        <v>134</v>
      </c>
      <c r="M267" s="12"/>
      <c r="N267" s="12"/>
      <c r="O267" s="12"/>
      <c r="P267" s="12"/>
      <c r="Q267" s="12"/>
      <c r="R267" s="12"/>
      <c r="S267" s="12"/>
      <c r="T267" s="12">
        <f>IF(M267="",0,INDEX(Sheet2!A$2:A$6,MATCH(M267,Sheet2!C$2:C$6,0)))</f>
        <v>0</v>
      </c>
      <c r="U267" s="12">
        <f>IF(N267="",0,INDEX(Sheet2!A$2:A$6,MATCH(N267,Sheet2!C$2:C$6,0)))</f>
        <v>0</v>
      </c>
      <c r="V267" s="12">
        <f>IF(O267="",0,INDEX(Sheet2!A$2:A$6,MATCH(O267,Sheet2!C$2:C$6,0)))</f>
        <v>0</v>
      </c>
      <c r="W267" s="12">
        <f>IF(P267="",0,INDEX(Sheet2!A$2:A$6,MATCH(P267,Sheet2!C$2:C$6,0)))</f>
        <v>0</v>
      </c>
      <c r="X267" s="12">
        <f>IF(Q267="",0,INDEX(Sheet2!A$2:A$6,MATCH(Q267,Sheet2!C$2:C$6,0)))</f>
        <v>0</v>
      </c>
      <c r="Y267" s="12">
        <f>IF(R267="",0,INDEX(Sheet2!A$2:A$6,MATCH(R267,Sheet2!C$2:C$6,0)))</f>
        <v>0</v>
      </c>
      <c r="Z267" s="12">
        <f t="shared" si="9"/>
        <v>0</v>
      </c>
      <c r="AA267" s="12" t="str">
        <f>IF(I267&gt;=7500,"E",IF(I267&gt;=6800,"D",IF(I267&gt;=4200,"C",IF(I267&gt;=3000,"B",IF(I267&gt;=750,"A","Below Slab")))))</f>
        <v>B</v>
      </c>
      <c r="AB267" s="19" t="str">
        <f>IF(I267&gt;=7500,"Samsung front-load washing machine",IF(I267&gt;=6800,"Apple iPad",IF(I267&gt;=4200,"Robot Vacuum cleaner",IF(I267&gt;=3000,"Sony - sound bar, woofer and speakers",IF(I267&gt;=750,"Foot massager","Not eligible")))))</f>
        <v>Sony - sound bar, woofer and speakers</v>
      </c>
    </row>
    <row r="268" spans="1:28" customFormat="1">
      <c r="A268" s="1" t="s">
        <v>758</v>
      </c>
      <c r="B268" s="21" t="s">
        <v>759</v>
      </c>
      <c r="C268" s="21" t="s">
        <v>57</v>
      </c>
      <c r="D268" s="1" t="s">
        <v>27</v>
      </c>
      <c r="E268" s="1" t="s">
        <v>760</v>
      </c>
      <c r="F268" s="1" t="s">
        <v>115</v>
      </c>
      <c r="G268" s="1" t="s">
        <v>9</v>
      </c>
      <c r="H268" s="23">
        <v>50.980000000000004</v>
      </c>
      <c r="I268" s="23">
        <v>1401.95</v>
      </c>
      <c r="J268" s="2" t="str">
        <f t="shared" si="8"/>
        <v/>
      </c>
      <c r="K268" s="23" t="str">
        <f>IF(J268="","",I268-J268)</f>
        <v/>
      </c>
      <c r="L268" s="1" t="s">
        <v>73</v>
      </c>
      <c r="M268" s="12"/>
      <c r="N268" s="12"/>
      <c r="O268" s="12"/>
      <c r="P268" s="12"/>
      <c r="Q268" s="12"/>
      <c r="R268" s="12"/>
      <c r="S268" s="12"/>
      <c r="T268" s="12">
        <f>IF(M268="",0,INDEX(Sheet2!A$2:A$6,MATCH(M268,Sheet2!C$2:C$6,0)))</f>
        <v>0</v>
      </c>
      <c r="U268" s="12">
        <f>IF(N268="",0,INDEX(Sheet2!A$2:A$6,MATCH(N268,Sheet2!C$2:C$6,0)))</f>
        <v>0</v>
      </c>
      <c r="V268" s="12">
        <f>IF(O268="",0,INDEX(Sheet2!A$2:A$6,MATCH(O268,Sheet2!C$2:C$6,0)))</f>
        <v>0</v>
      </c>
      <c r="W268" s="12">
        <f>IF(P268="",0,INDEX(Sheet2!A$2:A$6,MATCH(P268,Sheet2!C$2:C$6,0)))</f>
        <v>0</v>
      </c>
      <c r="X268" s="12">
        <f>IF(Q268="",0,INDEX(Sheet2!A$2:A$6,MATCH(Q268,Sheet2!C$2:C$6,0)))</f>
        <v>0</v>
      </c>
      <c r="Y268" s="12">
        <f>IF(R268="",0,INDEX(Sheet2!A$2:A$6,MATCH(R268,Sheet2!C$2:C$6,0)))</f>
        <v>0</v>
      </c>
      <c r="Z268" s="12">
        <f t="shared" si="9"/>
        <v>0</v>
      </c>
      <c r="AA268" s="12" t="str">
        <f>IF(I268&gt;=7500,"E",IF(I268&gt;=6800,"D",IF(I268&gt;=4200,"C",IF(I268&gt;=3000,"B",IF(I268&gt;=750,"A","Below Slab")))))</f>
        <v>A</v>
      </c>
      <c r="AB268" s="19" t="str">
        <f>IF(I268&gt;=7500,"Samsung front-load washing machine",IF(I268&gt;=6800,"Apple iPad",IF(I268&gt;=4200,"Robot Vacuum cleaner",IF(I268&gt;=3000,"Sony - sound bar, woofer and speakers",IF(I268&gt;=750,"Foot massager","Not eligible")))))</f>
        <v>Foot massager</v>
      </c>
    </row>
    <row r="269" spans="1:28" customFormat="1">
      <c r="A269" s="1" t="s">
        <v>761</v>
      </c>
      <c r="B269" s="21" t="s">
        <v>762</v>
      </c>
      <c r="C269" s="21" t="s">
        <v>57</v>
      </c>
      <c r="D269" s="1" t="s">
        <v>27</v>
      </c>
      <c r="E269" s="1" t="s">
        <v>710</v>
      </c>
      <c r="F269" s="1" t="s">
        <v>115</v>
      </c>
      <c r="G269" s="1" t="s">
        <v>9</v>
      </c>
      <c r="H269" s="23">
        <v>35</v>
      </c>
      <c r="I269" s="23">
        <v>875</v>
      </c>
      <c r="J269" s="2" t="str">
        <f t="shared" si="8"/>
        <v/>
      </c>
      <c r="K269" s="23" t="str">
        <f>IF(J269="","",I269-J269)</f>
        <v/>
      </c>
      <c r="L269" s="1" t="s">
        <v>73</v>
      </c>
      <c r="M269" s="12"/>
      <c r="N269" s="12"/>
      <c r="O269" s="12"/>
      <c r="P269" s="12"/>
      <c r="Q269" s="12"/>
      <c r="R269" s="12"/>
      <c r="S269" s="12"/>
      <c r="T269" s="12">
        <f>IF(M269="",0,INDEX(Sheet2!A$2:A$6,MATCH(M269,Sheet2!C$2:C$6,0)))</f>
        <v>0</v>
      </c>
      <c r="U269" s="12">
        <f>IF(N269="",0,INDEX(Sheet2!A$2:A$6,MATCH(N269,Sheet2!C$2:C$6,0)))</f>
        <v>0</v>
      </c>
      <c r="V269" s="12">
        <f>IF(O269="",0,INDEX(Sheet2!A$2:A$6,MATCH(O269,Sheet2!C$2:C$6,0)))</f>
        <v>0</v>
      </c>
      <c r="W269" s="12">
        <f>IF(P269="",0,INDEX(Sheet2!A$2:A$6,MATCH(P269,Sheet2!C$2:C$6,0)))</f>
        <v>0</v>
      </c>
      <c r="X269" s="12">
        <f>IF(Q269="",0,INDEX(Sheet2!A$2:A$6,MATCH(Q269,Sheet2!C$2:C$6,0)))</f>
        <v>0</v>
      </c>
      <c r="Y269" s="12">
        <f>IF(R269="",0,INDEX(Sheet2!A$2:A$6,MATCH(R269,Sheet2!C$2:C$6,0)))</f>
        <v>0</v>
      </c>
      <c r="Z269" s="12">
        <f t="shared" si="9"/>
        <v>0</v>
      </c>
      <c r="AA269" s="12" t="str">
        <f>IF(I269&gt;=7500,"E",IF(I269&gt;=6800,"D",IF(I269&gt;=4200,"C",IF(I269&gt;=3000,"B",IF(I269&gt;=750,"A","Below Slab")))))</f>
        <v>A</v>
      </c>
      <c r="AB269" s="19" t="str">
        <f>IF(I269&gt;=7500,"Samsung front-load washing machine",IF(I269&gt;=6800,"Apple iPad",IF(I269&gt;=4200,"Robot Vacuum cleaner",IF(I269&gt;=3000,"Sony - sound bar, woofer and speakers",IF(I269&gt;=750,"Foot massager","Not eligible")))))</f>
        <v>Foot massager</v>
      </c>
    </row>
    <row r="270" spans="1:28" customFormat="1">
      <c r="A270" s="1" t="s">
        <v>763</v>
      </c>
      <c r="B270" s="21" t="s">
        <v>764</v>
      </c>
      <c r="C270" s="21" t="s">
        <v>59</v>
      </c>
      <c r="D270" s="1" t="s">
        <v>27</v>
      </c>
      <c r="E270" s="1" t="s">
        <v>765</v>
      </c>
      <c r="F270" s="1" t="s">
        <v>115</v>
      </c>
      <c r="G270" s="1" t="s">
        <v>9</v>
      </c>
      <c r="H270" s="23">
        <v>33.090000000000003</v>
      </c>
      <c r="I270" s="23">
        <v>827.25000000000011</v>
      </c>
      <c r="J270" s="2" t="str">
        <f t="shared" si="8"/>
        <v/>
      </c>
      <c r="K270" s="23" t="str">
        <f>IF(J270="","",I270-J270)</f>
        <v/>
      </c>
      <c r="L270" s="1" t="s">
        <v>73</v>
      </c>
      <c r="M270" s="12"/>
      <c r="N270" s="12"/>
      <c r="O270" s="12"/>
      <c r="P270" s="12"/>
      <c r="Q270" s="12"/>
      <c r="R270" s="12"/>
      <c r="S270" s="12"/>
      <c r="T270" s="12">
        <f>IF(M270="",0,INDEX(Sheet2!A$2:A$6,MATCH(M270,Sheet2!C$2:C$6,0)))</f>
        <v>0</v>
      </c>
      <c r="U270" s="12">
        <f>IF(N270="",0,INDEX(Sheet2!A$2:A$6,MATCH(N270,Sheet2!C$2:C$6,0)))</f>
        <v>0</v>
      </c>
      <c r="V270" s="12">
        <f>IF(O270="",0,INDEX(Sheet2!A$2:A$6,MATCH(O270,Sheet2!C$2:C$6,0)))</f>
        <v>0</v>
      </c>
      <c r="W270" s="12">
        <f>IF(P270="",0,INDEX(Sheet2!A$2:A$6,MATCH(P270,Sheet2!C$2:C$6,0)))</f>
        <v>0</v>
      </c>
      <c r="X270" s="12">
        <f>IF(Q270="",0,INDEX(Sheet2!A$2:A$6,MATCH(Q270,Sheet2!C$2:C$6,0)))</f>
        <v>0</v>
      </c>
      <c r="Y270" s="12">
        <f>IF(R270="",0,INDEX(Sheet2!A$2:A$6,MATCH(R270,Sheet2!C$2:C$6,0)))</f>
        <v>0</v>
      </c>
      <c r="Z270" s="12">
        <f t="shared" si="9"/>
        <v>0</v>
      </c>
      <c r="AA270" s="12" t="str">
        <f>IF(I270&gt;=7500,"E",IF(I270&gt;=6800,"D",IF(I270&gt;=4200,"C",IF(I270&gt;=3000,"B",IF(I270&gt;=750,"A","Below Slab")))))</f>
        <v>A</v>
      </c>
      <c r="AB270" s="19" t="str">
        <f>IF(I270&gt;=7500,"Samsung front-load washing machine",IF(I270&gt;=6800,"Apple iPad",IF(I270&gt;=4200,"Robot Vacuum cleaner",IF(I270&gt;=3000,"Sony - sound bar, woofer and speakers",IF(I270&gt;=750,"Foot massager","Not eligible")))))</f>
        <v>Foot massager</v>
      </c>
    </row>
    <row r="271" spans="1:28" customFormat="1">
      <c r="A271" s="1" t="s">
        <v>766</v>
      </c>
      <c r="B271" s="21" t="s">
        <v>767</v>
      </c>
      <c r="C271" s="21" t="s">
        <v>59</v>
      </c>
      <c r="D271" s="1" t="s">
        <v>27</v>
      </c>
      <c r="E271" s="1" t="s">
        <v>765</v>
      </c>
      <c r="F271" s="1" t="s">
        <v>115</v>
      </c>
      <c r="G271" s="1" t="s">
        <v>9</v>
      </c>
      <c r="H271" s="23">
        <v>33.26</v>
      </c>
      <c r="I271" s="23">
        <v>831.5</v>
      </c>
      <c r="J271" s="2" t="str">
        <f t="shared" si="8"/>
        <v/>
      </c>
      <c r="K271" s="23" t="str">
        <f>IF(J271="","",I271-J271)</f>
        <v/>
      </c>
      <c r="L271" s="1" t="s">
        <v>73</v>
      </c>
      <c r="M271" s="12"/>
      <c r="N271" s="12"/>
      <c r="O271" s="12"/>
      <c r="P271" s="12"/>
      <c r="Q271" s="12"/>
      <c r="R271" s="12"/>
      <c r="S271" s="12"/>
      <c r="T271" s="12">
        <f>IF(M271="",0,INDEX(Sheet2!A$2:A$6,MATCH(M271,Sheet2!C$2:C$6,0)))</f>
        <v>0</v>
      </c>
      <c r="U271" s="12">
        <f>IF(N271="",0,INDEX(Sheet2!A$2:A$6,MATCH(N271,Sheet2!C$2:C$6,0)))</f>
        <v>0</v>
      </c>
      <c r="V271" s="12">
        <f>IF(O271="",0,INDEX(Sheet2!A$2:A$6,MATCH(O271,Sheet2!C$2:C$6,0)))</f>
        <v>0</v>
      </c>
      <c r="W271" s="12">
        <f>IF(P271="",0,INDEX(Sheet2!A$2:A$6,MATCH(P271,Sheet2!C$2:C$6,0)))</f>
        <v>0</v>
      </c>
      <c r="X271" s="12">
        <f>IF(Q271="",0,INDEX(Sheet2!A$2:A$6,MATCH(Q271,Sheet2!C$2:C$6,0)))</f>
        <v>0</v>
      </c>
      <c r="Y271" s="12">
        <f>IF(R271="",0,INDEX(Sheet2!A$2:A$6,MATCH(R271,Sheet2!C$2:C$6,0)))</f>
        <v>0</v>
      </c>
      <c r="Z271" s="12">
        <f t="shared" si="9"/>
        <v>0</v>
      </c>
      <c r="AA271" s="12" t="str">
        <f>IF(I271&gt;=7500,"E",IF(I271&gt;=6800,"D",IF(I271&gt;=4200,"C",IF(I271&gt;=3000,"B",IF(I271&gt;=750,"A","Below Slab")))))</f>
        <v>A</v>
      </c>
      <c r="AB271" s="19" t="str">
        <f>IF(I271&gt;=7500,"Samsung front-load washing machine",IF(I271&gt;=6800,"Apple iPad",IF(I271&gt;=4200,"Robot Vacuum cleaner",IF(I271&gt;=3000,"Sony - sound bar, woofer and speakers",IF(I271&gt;=750,"Foot massager","Not eligible")))))</f>
        <v>Foot massager</v>
      </c>
    </row>
    <row r="272" spans="1:28" customFormat="1">
      <c r="A272" s="1" t="s">
        <v>768</v>
      </c>
      <c r="B272" s="21" t="s">
        <v>769</v>
      </c>
      <c r="C272" s="21" t="s">
        <v>59</v>
      </c>
      <c r="D272" s="1" t="s">
        <v>27</v>
      </c>
      <c r="E272" s="1" t="s">
        <v>765</v>
      </c>
      <c r="F272" s="1" t="s">
        <v>115</v>
      </c>
      <c r="G272" s="1" t="s">
        <v>9</v>
      </c>
      <c r="H272" s="23">
        <v>73.150000000000006</v>
      </c>
      <c r="I272" s="23">
        <v>2011.6250000000005</v>
      </c>
      <c r="J272" s="2" t="str">
        <f t="shared" si="8"/>
        <v/>
      </c>
      <c r="K272" s="23" t="str">
        <f>IF(J272="","",I272-J272)</f>
        <v/>
      </c>
      <c r="L272" s="1" t="s">
        <v>73</v>
      </c>
      <c r="M272" s="12"/>
      <c r="N272" s="12"/>
      <c r="O272" s="12"/>
      <c r="P272" s="12"/>
      <c r="Q272" s="12"/>
      <c r="R272" s="12"/>
      <c r="S272" s="12"/>
      <c r="T272" s="12">
        <f>IF(M272="",0,INDEX(Sheet2!A$2:A$6,MATCH(M272,Sheet2!C$2:C$6,0)))</f>
        <v>0</v>
      </c>
      <c r="U272" s="12">
        <f>IF(N272="",0,INDEX(Sheet2!A$2:A$6,MATCH(N272,Sheet2!C$2:C$6,0)))</f>
        <v>0</v>
      </c>
      <c r="V272" s="12">
        <f>IF(O272="",0,INDEX(Sheet2!A$2:A$6,MATCH(O272,Sheet2!C$2:C$6,0)))</f>
        <v>0</v>
      </c>
      <c r="W272" s="12">
        <f>IF(P272="",0,INDEX(Sheet2!A$2:A$6,MATCH(P272,Sheet2!C$2:C$6,0)))</f>
        <v>0</v>
      </c>
      <c r="X272" s="12">
        <f>IF(Q272="",0,INDEX(Sheet2!A$2:A$6,MATCH(Q272,Sheet2!C$2:C$6,0)))</f>
        <v>0</v>
      </c>
      <c r="Y272" s="12">
        <f>IF(R272="",0,INDEX(Sheet2!A$2:A$6,MATCH(R272,Sheet2!C$2:C$6,0)))</f>
        <v>0</v>
      </c>
      <c r="Z272" s="12">
        <f t="shared" si="9"/>
        <v>0</v>
      </c>
      <c r="AA272" s="12" t="str">
        <f>IF(I272&gt;=7500,"E",IF(I272&gt;=6800,"D",IF(I272&gt;=4200,"C",IF(I272&gt;=3000,"B",IF(I272&gt;=750,"A","Below Slab")))))</f>
        <v>A</v>
      </c>
      <c r="AB272" s="19" t="str">
        <f>IF(I272&gt;=7500,"Samsung front-load washing machine",IF(I272&gt;=6800,"Apple iPad",IF(I272&gt;=4200,"Robot Vacuum cleaner",IF(I272&gt;=3000,"Sony - sound bar, woofer and speakers",IF(I272&gt;=750,"Foot massager","Not eligible")))))</f>
        <v>Foot massager</v>
      </c>
    </row>
    <row r="273" spans="1:28" customFormat="1">
      <c r="A273" s="1" t="s">
        <v>770</v>
      </c>
      <c r="B273" s="21" t="s">
        <v>771</v>
      </c>
      <c r="C273" s="21" t="s">
        <v>59</v>
      </c>
      <c r="D273" s="1" t="s">
        <v>27</v>
      </c>
      <c r="E273" s="1" t="s">
        <v>765</v>
      </c>
      <c r="F273" s="1" t="s">
        <v>115</v>
      </c>
      <c r="G273" s="1" t="s">
        <v>9</v>
      </c>
      <c r="H273" s="23">
        <v>41.87</v>
      </c>
      <c r="I273" s="23">
        <v>1046.75</v>
      </c>
      <c r="J273" s="2" t="str">
        <f t="shared" si="8"/>
        <v/>
      </c>
      <c r="K273" s="23" t="str">
        <f>IF(J273="","",I273-J273)</f>
        <v/>
      </c>
      <c r="L273" s="1" t="s">
        <v>73</v>
      </c>
      <c r="M273" s="12"/>
      <c r="N273" s="12"/>
      <c r="O273" s="12"/>
      <c r="P273" s="12"/>
      <c r="Q273" s="12"/>
      <c r="R273" s="12"/>
      <c r="S273" s="12"/>
      <c r="T273" s="12">
        <f>IF(M273="",0,INDEX(Sheet2!A$2:A$6,MATCH(M273,Sheet2!C$2:C$6,0)))</f>
        <v>0</v>
      </c>
      <c r="U273" s="12">
        <f>IF(N273="",0,INDEX(Sheet2!A$2:A$6,MATCH(N273,Sheet2!C$2:C$6,0)))</f>
        <v>0</v>
      </c>
      <c r="V273" s="12">
        <f>IF(O273="",0,INDEX(Sheet2!A$2:A$6,MATCH(O273,Sheet2!C$2:C$6,0)))</f>
        <v>0</v>
      </c>
      <c r="W273" s="12">
        <f>IF(P273="",0,INDEX(Sheet2!A$2:A$6,MATCH(P273,Sheet2!C$2:C$6,0)))</f>
        <v>0</v>
      </c>
      <c r="X273" s="12">
        <f>IF(Q273="",0,INDEX(Sheet2!A$2:A$6,MATCH(Q273,Sheet2!C$2:C$6,0)))</f>
        <v>0</v>
      </c>
      <c r="Y273" s="12">
        <f>IF(R273="",0,INDEX(Sheet2!A$2:A$6,MATCH(R273,Sheet2!C$2:C$6,0)))</f>
        <v>0</v>
      </c>
      <c r="Z273" s="12">
        <f t="shared" si="9"/>
        <v>0</v>
      </c>
      <c r="AA273" s="12" t="str">
        <f>IF(I273&gt;=7500,"E",IF(I273&gt;=6800,"D",IF(I273&gt;=4200,"C",IF(I273&gt;=3000,"B",IF(I273&gt;=750,"A","Below Slab")))))</f>
        <v>A</v>
      </c>
      <c r="AB273" s="19" t="str">
        <f>IF(I273&gt;=7500,"Samsung front-load washing machine",IF(I273&gt;=6800,"Apple iPad",IF(I273&gt;=4200,"Robot Vacuum cleaner",IF(I273&gt;=3000,"Sony - sound bar, woofer and speakers",IF(I273&gt;=750,"Foot massager","Not eligible")))))</f>
        <v>Foot massager</v>
      </c>
    </row>
    <row r="274" spans="1:28" customFormat="1">
      <c r="A274" s="1" t="s">
        <v>772</v>
      </c>
      <c r="B274" s="21" t="s">
        <v>773</v>
      </c>
      <c r="C274" s="21" t="s">
        <v>59</v>
      </c>
      <c r="D274" s="1" t="s">
        <v>774</v>
      </c>
      <c r="E274" s="1" t="s">
        <v>775</v>
      </c>
      <c r="F274" s="1" t="s">
        <v>115</v>
      </c>
      <c r="G274" s="1" t="s">
        <v>9</v>
      </c>
      <c r="H274" s="23">
        <v>36.19</v>
      </c>
      <c r="I274" s="23">
        <v>904.75</v>
      </c>
      <c r="J274" s="2" t="str">
        <f t="shared" si="8"/>
        <v/>
      </c>
      <c r="K274" s="23" t="str">
        <f>IF(J274="","",I274-J274)</f>
        <v/>
      </c>
      <c r="L274" s="1" t="s">
        <v>73</v>
      </c>
      <c r="M274" s="12"/>
      <c r="N274" s="12"/>
      <c r="O274" s="12"/>
      <c r="P274" s="12"/>
      <c r="Q274" s="12"/>
      <c r="R274" s="12"/>
      <c r="S274" s="12"/>
      <c r="T274" s="12">
        <f>IF(M274="",0,INDEX(Sheet2!A$2:A$6,MATCH(M274,Sheet2!C$2:C$6,0)))</f>
        <v>0</v>
      </c>
      <c r="U274" s="12">
        <f>IF(N274="",0,INDEX(Sheet2!A$2:A$6,MATCH(N274,Sheet2!C$2:C$6,0)))</f>
        <v>0</v>
      </c>
      <c r="V274" s="12">
        <f>IF(O274="",0,INDEX(Sheet2!A$2:A$6,MATCH(O274,Sheet2!C$2:C$6,0)))</f>
        <v>0</v>
      </c>
      <c r="W274" s="12">
        <f>IF(P274="",0,INDEX(Sheet2!A$2:A$6,MATCH(P274,Sheet2!C$2:C$6,0)))</f>
        <v>0</v>
      </c>
      <c r="X274" s="12">
        <f>IF(Q274="",0,INDEX(Sheet2!A$2:A$6,MATCH(Q274,Sheet2!C$2:C$6,0)))</f>
        <v>0</v>
      </c>
      <c r="Y274" s="12">
        <f>IF(R274="",0,INDEX(Sheet2!A$2:A$6,MATCH(R274,Sheet2!C$2:C$6,0)))</f>
        <v>0</v>
      </c>
      <c r="Z274" s="12">
        <f t="shared" si="9"/>
        <v>0</v>
      </c>
      <c r="AA274" s="12" t="str">
        <f>IF(I274&gt;=7500,"E",IF(I274&gt;=6800,"D",IF(I274&gt;=4200,"C",IF(I274&gt;=3000,"B",IF(I274&gt;=750,"A","Below Slab")))))</f>
        <v>A</v>
      </c>
      <c r="AB274" s="19" t="str">
        <f>IF(I274&gt;=7500,"Samsung front-load washing machine",IF(I274&gt;=6800,"Apple iPad",IF(I274&gt;=4200,"Robot Vacuum cleaner",IF(I274&gt;=3000,"Sony - sound bar, woofer and speakers",IF(I274&gt;=750,"Foot massager","Not eligible")))))</f>
        <v>Foot massager</v>
      </c>
    </row>
    <row r="275" spans="1:28" customFormat="1">
      <c r="A275" s="1" t="s">
        <v>776</v>
      </c>
      <c r="B275" s="21" t="s">
        <v>777</v>
      </c>
      <c r="C275" s="21" t="s">
        <v>59</v>
      </c>
      <c r="D275" s="1" t="s">
        <v>27</v>
      </c>
      <c r="E275" s="1" t="s">
        <v>765</v>
      </c>
      <c r="F275" s="1" t="s">
        <v>115</v>
      </c>
      <c r="G275" s="1" t="s">
        <v>9</v>
      </c>
      <c r="H275" s="23">
        <v>162.44999999999999</v>
      </c>
      <c r="I275" s="23">
        <v>5279.625</v>
      </c>
      <c r="J275" s="2" t="str">
        <f t="shared" si="8"/>
        <v/>
      </c>
      <c r="K275" s="23" t="str">
        <f>IF(J275="","",I275-J275)</f>
        <v/>
      </c>
      <c r="L275" s="1" t="s">
        <v>77</v>
      </c>
      <c r="M275" s="12"/>
      <c r="N275" s="12"/>
      <c r="O275" s="12"/>
      <c r="P275" s="12"/>
      <c r="Q275" s="12"/>
      <c r="R275" s="12"/>
      <c r="S275" s="12"/>
      <c r="T275" s="12">
        <f>IF(M275="",0,INDEX(Sheet2!A$2:A$6,MATCH(M275,Sheet2!C$2:C$6,0)))</f>
        <v>0</v>
      </c>
      <c r="U275" s="12">
        <f>IF(N275="",0,INDEX(Sheet2!A$2:A$6,MATCH(N275,Sheet2!C$2:C$6,0)))</f>
        <v>0</v>
      </c>
      <c r="V275" s="12">
        <f>IF(O275="",0,INDEX(Sheet2!A$2:A$6,MATCH(O275,Sheet2!C$2:C$6,0)))</f>
        <v>0</v>
      </c>
      <c r="W275" s="12">
        <f>IF(P275="",0,INDEX(Sheet2!A$2:A$6,MATCH(P275,Sheet2!C$2:C$6,0)))</f>
        <v>0</v>
      </c>
      <c r="X275" s="12">
        <f>IF(Q275="",0,INDEX(Sheet2!A$2:A$6,MATCH(Q275,Sheet2!C$2:C$6,0)))</f>
        <v>0</v>
      </c>
      <c r="Y275" s="12">
        <f>IF(R275="",0,INDEX(Sheet2!A$2:A$6,MATCH(R275,Sheet2!C$2:C$6,0)))</f>
        <v>0</v>
      </c>
      <c r="Z275" s="12">
        <f t="shared" si="9"/>
        <v>0</v>
      </c>
      <c r="AA275" s="12" t="str">
        <f>IF(I275&gt;=7500,"E",IF(I275&gt;=6800,"D",IF(I275&gt;=4200,"C",IF(I275&gt;=3000,"B",IF(I275&gt;=750,"A","Below Slab")))))</f>
        <v>C</v>
      </c>
      <c r="AB275" s="19" t="str">
        <f>IF(I275&gt;=7500,"Samsung front-load washing machine",IF(I275&gt;=6800,"Apple iPad",IF(I275&gt;=4200,"Robot Vacuum cleaner",IF(I275&gt;=3000,"Sony - sound bar, woofer and speakers",IF(I275&gt;=750,"Foot massager","Not eligible")))))</f>
        <v>Robot Vacuum cleaner</v>
      </c>
    </row>
    <row r="276" spans="1:28" customFormat="1">
      <c r="A276" s="1" t="s">
        <v>778</v>
      </c>
      <c r="B276" s="21" t="s">
        <v>779</v>
      </c>
      <c r="C276" s="21" t="s">
        <v>59</v>
      </c>
      <c r="D276" s="1" t="s">
        <v>27</v>
      </c>
      <c r="E276" s="1" t="s">
        <v>780</v>
      </c>
      <c r="F276" s="1" t="s">
        <v>115</v>
      </c>
      <c r="G276" s="1" t="s">
        <v>9</v>
      </c>
      <c r="H276" s="23">
        <v>76</v>
      </c>
      <c r="I276" s="23">
        <v>2090</v>
      </c>
      <c r="J276" s="2" t="str">
        <f t="shared" si="8"/>
        <v/>
      </c>
      <c r="K276" s="23" t="str">
        <f>IF(J276="","",I276-J276)</f>
        <v/>
      </c>
      <c r="L276" s="1" t="s">
        <v>73</v>
      </c>
      <c r="M276" s="12"/>
      <c r="N276" s="12"/>
      <c r="O276" s="12"/>
      <c r="P276" s="12"/>
      <c r="Q276" s="12"/>
      <c r="R276" s="12"/>
      <c r="S276" s="12"/>
      <c r="T276" s="12">
        <f>IF(M276="",0,INDEX(Sheet2!A$2:A$6,MATCH(M276,Sheet2!C$2:C$6,0)))</f>
        <v>0</v>
      </c>
      <c r="U276" s="12">
        <f>IF(N276="",0,INDEX(Sheet2!A$2:A$6,MATCH(N276,Sheet2!C$2:C$6,0)))</f>
        <v>0</v>
      </c>
      <c r="V276" s="12">
        <f>IF(O276="",0,INDEX(Sheet2!A$2:A$6,MATCH(O276,Sheet2!C$2:C$6,0)))</f>
        <v>0</v>
      </c>
      <c r="W276" s="12">
        <f>IF(P276="",0,INDEX(Sheet2!A$2:A$6,MATCH(P276,Sheet2!C$2:C$6,0)))</f>
        <v>0</v>
      </c>
      <c r="X276" s="12">
        <f>IF(Q276="",0,INDEX(Sheet2!A$2:A$6,MATCH(Q276,Sheet2!C$2:C$6,0)))</f>
        <v>0</v>
      </c>
      <c r="Y276" s="12">
        <f>IF(R276="",0,INDEX(Sheet2!A$2:A$6,MATCH(R276,Sheet2!C$2:C$6,0)))</f>
        <v>0</v>
      </c>
      <c r="Z276" s="12">
        <f t="shared" si="9"/>
        <v>0</v>
      </c>
      <c r="AA276" s="12" t="str">
        <f>IF(I276&gt;=7500,"E",IF(I276&gt;=6800,"D",IF(I276&gt;=4200,"C",IF(I276&gt;=3000,"B",IF(I276&gt;=750,"A","Below Slab")))))</f>
        <v>A</v>
      </c>
      <c r="AB276" s="19" t="str">
        <f>IF(I276&gt;=7500,"Samsung front-load washing machine",IF(I276&gt;=6800,"Apple iPad",IF(I276&gt;=4200,"Robot Vacuum cleaner",IF(I276&gt;=3000,"Sony - sound bar, woofer and speakers",IF(I276&gt;=750,"Foot massager","Not eligible")))))</f>
        <v>Foot massager</v>
      </c>
    </row>
    <row r="277" spans="1:28" customFormat="1">
      <c r="A277" s="1" t="s">
        <v>781</v>
      </c>
      <c r="B277" s="21" t="s">
        <v>782</v>
      </c>
      <c r="C277" s="21" t="s">
        <v>59</v>
      </c>
      <c r="D277" s="1" t="s">
        <v>27</v>
      </c>
      <c r="E277" s="1" t="s">
        <v>783</v>
      </c>
      <c r="F277" s="1" t="s">
        <v>115</v>
      </c>
      <c r="G277" s="1" t="s">
        <v>9</v>
      </c>
      <c r="H277" s="23">
        <v>100.92</v>
      </c>
      <c r="I277" s="23">
        <v>3027.6</v>
      </c>
      <c r="J277" s="2" t="str">
        <f t="shared" si="8"/>
        <v/>
      </c>
      <c r="K277" s="23" t="str">
        <f>IF(J277="","",I277-J277)</f>
        <v/>
      </c>
      <c r="L277" s="1" t="s">
        <v>134</v>
      </c>
      <c r="M277" s="12"/>
      <c r="N277" s="12"/>
      <c r="O277" s="12"/>
      <c r="P277" s="12"/>
      <c r="Q277" s="12"/>
      <c r="R277" s="12"/>
      <c r="S277" s="12"/>
      <c r="T277" s="12">
        <f>IF(M277="",0,INDEX(Sheet2!A$2:A$6,MATCH(M277,Sheet2!C$2:C$6,0)))</f>
        <v>0</v>
      </c>
      <c r="U277" s="12">
        <f>IF(N277="",0,INDEX(Sheet2!A$2:A$6,MATCH(N277,Sheet2!C$2:C$6,0)))</f>
        <v>0</v>
      </c>
      <c r="V277" s="12">
        <f>IF(O277="",0,INDEX(Sheet2!A$2:A$6,MATCH(O277,Sheet2!C$2:C$6,0)))</f>
        <v>0</v>
      </c>
      <c r="W277" s="12">
        <f>IF(P277="",0,INDEX(Sheet2!A$2:A$6,MATCH(P277,Sheet2!C$2:C$6,0)))</f>
        <v>0</v>
      </c>
      <c r="X277" s="12">
        <f>IF(Q277="",0,INDEX(Sheet2!A$2:A$6,MATCH(Q277,Sheet2!C$2:C$6,0)))</f>
        <v>0</v>
      </c>
      <c r="Y277" s="12">
        <f>IF(R277="",0,INDEX(Sheet2!A$2:A$6,MATCH(R277,Sheet2!C$2:C$6,0)))</f>
        <v>0</v>
      </c>
      <c r="Z277" s="12">
        <f t="shared" si="9"/>
        <v>0</v>
      </c>
      <c r="AA277" s="12" t="str">
        <f>IF(I277&gt;=7500,"E",IF(I277&gt;=6800,"D",IF(I277&gt;=4200,"C",IF(I277&gt;=3000,"B",IF(I277&gt;=750,"A","Below Slab")))))</f>
        <v>B</v>
      </c>
      <c r="AB277" s="19" t="str">
        <f>IF(I277&gt;=7500,"Samsung front-load washing machine",IF(I277&gt;=6800,"Apple iPad",IF(I277&gt;=4200,"Robot Vacuum cleaner",IF(I277&gt;=3000,"Sony - sound bar, woofer and speakers",IF(I277&gt;=750,"Foot massager","Not eligible")))))</f>
        <v>Sony - sound bar, woofer and speakers</v>
      </c>
    </row>
    <row r="278" spans="1:28" customFormat="1">
      <c r="A278" s="1" t="s">
        <v>784</v>
      </c>
      <c r="B278" s="21" t="s">
        <v>785</v>
      </c>
      <c r="C278" s="21" t="s">
        <v>59</v>
      </c>
      <c r="D278" s="1" t="s">
        <v>27</v>
      </c>
      <c r="E278" s="1" t="s">
        <v>786</v>
      </c>
      <c r="F278" s="1" t="s">
        <v>115</v>
      </c>
      <c r="G278" s="1" t="s">
        <v>9</v>
      </c>
      <c r="H278" s="23">
        <v>70</v>
      </c>
      <c r="I278" s="23">
        <v>1925.0000000000002</v>
      </c>
      <c r="J278" s="2" t="str">
        <f t="shared" si="8"/>
        <v/>
      </c>
      <c r="K278" s="23" t="str">
        <f>IF(J278="","",I278-J278)</f>
        <v/>
      </c>
      <c r="L278" s="1" t="s">
        <v>73</v>
      </c>
      <c r="M278" s="12"/>
      <c r="N278" s="12"/>
      <c r="O278" s="12"/>
      <c r="P278" s="12"/>
      <c r="Q278" s="12"/>
      <c r="R278" s="12"/>
      <c r="S278" s="12"/>
      <c r="T278" s="12">
        <f>IF(M278="",0,INDEX(Sheet2!A$2:A$6,MATCH(M278,Sheet2!C$2:C$6,0)))</f>
        <v>0</v>
      </c>
      <c r="U278" s="12">
        <f>IF(N278="",0,INDEX(Sheet2!A$2:A$6,MATCH(N278,Sheet2!C$2:C$6,0)))</f>
        <v>0</v>
      </c>
      <c r="V278" s="12">
        <f>IF(O278="",0,INDEX(Sheet2!A$2:A$6,MATCH(O278,Sheet2!C$2:C$6,0)))</f>
        <v>0</v>
      </c>
      <c r="W278" s="12">
        <f>IF(P278="",0,INDEX(Sheet2!A$2:A$6,MATCH(P278,Sheet2!C$2:C$6,0)))</f>
        <v>0</v>
      </c>
      <c r="X278" s="12">
        <f>IF(Q278="",0,INDEX(Sheet2!A$2:A$6,MATCH(Q278,Sheet2!C$2:C$6,0)))</f>
        <v>0</v>
      </c>
      <c r="Y278" s="12">
        <f>IF(R278="",0,INDEX(Sheet2!A$2:A$6,MATCH(R278,Sheet2!C$2:C$6,0)))</f>
        <v>0</v>
      </c>
      <c r="Z278" s="12">
        <f t="shared" si="9"/>
        <v>0</v>
      </c>
      <c r="AA278" s="12" t="str">
        <f>IF(I278&gt;=7500,"E",IF(I278&gt;=6800,"D",IF(I278&gt;=4200,"C",IF(I278&gt;=3000,"B",IF(I278&gt;=750,"A","Below Slab")))))</f>
        <v>A</v>
      </c>
      <c r="AB278" s="19" t="str">
        <f>IF(I278&gt;=7500,"Samsung front-load washing machine",IF(I278&gt;=6800,"Apple iPad",IF(I278&gt;=4200,"Robot Vacuum cleaner",IF(I278&gt;=3000,"Sony - sound bar, woofer and speakers",IF(I278&gt;=750,"Foot massager","Not eligible")))))</f>
        <v>Foot massager</v>
      </c>
    </row>
    <row r="279" spans="1:28" customFormat="1">
      <c r="A279" s="1" t="s">
        <v>787</v>
      </c>
      <c r="B279" s="21" t="s">
        <v>788</v>
      </c>
      <c r="C279" s="21" t="s">
        <v>59</v>
      </c>
      <c r="D279" s="1" t="s">
        <v>27</v>
      </c>
      <c r="E279" s="1" t="s">
        <v>765</v>
      </c>
      <c r="F279" s="1" t="s">
        <v>115</v>
      </c>
      <c r="G279" s="1" t="s">
        <v>9</v>
      </c>
      <c r="H279" s="23">
        <v>77</v>
      </c>
      <c r="I279" s="23">
        <v>2117.5</v>
      </c>
      <c r="J279" s="2" t="str">
        <f t="shared" si="8"/>
        <v/>
      </c>
      <c r="K279" s="23" t="str">
        <f>IF(J279="","",I279-J279)</f>
        <v/>
      </c>
      <c r="L279" s="1" t="s">
        <v>73</v>
      </c>
      <c r="M279" s="12"/>
      <c r="N279" s="12"/>
      <c r="O279" s="12"/>
      <c r="P279" s="12"/>
      <c r="Q279" s="12"/>
      <c r="R279" s="12"/>
      <c r="S279" s="12"/>
      <c r="T279" s="12">
        <f>IF(M279="",0,INDEX(Sheet2!A$2:A$6,MATCH(M279,Sheet2!C$2:C$6,0)))</f>
        <v>0</v>
      </c>
      <c r="U279" s="12">
        <f>IF(N279="",0,INDEX(Sheet2!A$2:A$6,MATCH(N279,Sheet2!C$2:C$6,0)))</f>
        <v>0</v>
      </c>
      <c r="V279" s="12">
        <f>IF(O279="",0,INDEX(Sheet2!A$2:A$6,MATCH(O279,Sheet2!C$2:C$6,0)))</f>
        <v>0</v>
      </c>
      <c r="W279" s="12">
        <f>IF(P279="",0,INDEX(Sheet2!A$2:A$6,MATCH(P279,Sheet2!C$2:C$6,0)))</f>
        <v>0</v>
      </c>
      <c r="X279" s="12">
        <f>IF(Q279="",0,INDEX(Sheet2!A$2:A$6,MATCH(Q279,Sheet2!C$2:C$6,0)))</f>
        <v>0</v>
      </c>
      <c r="Y279" s="12">
        <f>IF(R279="",0,INDEX(Sheet2!A$2:A$6,MATCH(R279,Sheet2!C$2:C$6,0)))</f>
        <v>0</v>
      </c>
      <c r="Z279" s="12">
        <f t="shared" si="9"/>
        <v>0</v>
      </c>
      <c r="AA279" s="12" t="str">
        <f>IF(I279&gt;=7500,"E",IF(I279&gt;=6800,"D",IF(I279&gt;=4200,"C",IF(I279&gt;=3000,"B",IF(I279&gt;=750,"A","Below Slab")))))</f>
        <v>A</v>
      </c>
      <c r="AB279" s="19" t="str">
        <f>IF(I279&gt;=7500,"Samsung front-load washing machine",IF(I279&gt;=6800,"Apple iPad",IF(I279&gt;=4200,"Robot Vacuum cleaner",IF(I279&gt;=3000,"Sony - sound bar, woofer and speakers",IF(I279&gt;=750,"Foot massager","Not eligible")))))</f>
        <v>Foot massager</v>
      </c>
    </row>
    <row r="280" spans="1:28" customFormat="1">
      <c r="A280" s="1" t="s">
        <v>789</v>
      </c>
      <c r="B280" s="21" t="s">
        <v>790</v>
      </c>
      <c r="C280" s="21" t="s">
        <v>59</v>
      </c>
      <c r="D280" s="1" t="s">
        <v>27</v>
      </c>
      <c r="E280" s="1" t="s">
        <v>791</v>
      </c>
      <c r="F280" s="1" t="s">
        <v>115</v>
      </c>
      <c r="G280" s="1" t="s">
        <v>9</v>
      </c>
      <c r="H280" s="23">
        <v>70</v>
      </c>
      <c r="I280" s="23">
        <v>1925.0000000000002</v>
      </c>
      <c r="J280" s="2" t="str">
        <f t="shared" si="8"/>
        <v/>
      </c>
      <c r="K280" s="23" t="str">
        <f>IF(J280="","",I280-J280)</f>
        <v/>
      </c>
      <c r="L280" s="1" t="s">
        <v>73</v>
      </c>
      <c r="M280" s="12"/>
      <c r="N280" s="12"/>
      <c r="O280" s="12"/>
      <c r="P280" s="12"/>
      <c r="Q280" s="12"/>
      <c r="R280" s="12"/>
      <c r="S280" s="12"/>
      <c r="T280" s="12">
        <f>IF(M280="",0,INDEX(Sheet2!A$2:A$6,MATCH(M280,Sheet2!C$2:C$6,0)))</f>
        <v>0</v>
      </c>
      <c r="U280" s="12">
        <f>IF(N280="",0,INDEX(Sheet2!A$2:A$6,MATCH(N280,Sheet2!C$2:C$6,0)))</f>
        <v>0</v>
      </c>
      <c r="V280" s="12">
        <f>IF(O280="",0,INDEX(Sheet2!A$2:A$6,MATCH(O280,Sheet2!C$2:C$6,0)))</f>
        <v>0</v>
      </c>
      <c r="W280" s="12">
        <f>IF(P280="",0,INDEX(Sheet2!A$2:A$6,MATCH(P280,Sheet2!C$2:C$6,0)))</f>
        <v>0</v>
      </c>
      <c r="X280" s="12">
        <f>IF(Q280="",0,INDEX(Sheet2!A$2:A$6,MATCH(Q280,Sheet2!C$2:C$6,0)))</f>
        <v>0</v>
      </c>
      <c r="Y280" s="12">
        <f>IF(R280="",0,INDEX(Sheet2!A$2:A$6,MATCH(R280,Sheet2!C$2:C$6,0)))</f>
        <v>0</v>
      </c>
      <c r="Z280" s="12">
        <f t="shared" si="9"/>
        <v>0</v>
      </c>
      <c r="AA280" s="12" t="str">
        <f>IF(I280&gt;=7500,"E",IF(I280&gt;=6800,"D",IF(I280&gt;=4200,"C",IF(I280&gt;=3000,"B",IF(I280&gt;=750,"A","Below Slab")))))</f>
        <v>A</v>
      </c>
      <c r="AB280" s="19" t="str">
        <f>IF(I280&gt;=7500,"Samsung front-load washing machine",IF(I280&gt;=6800,"Apple iPad",IF(I280&gt;=4200,"Robot Vacuum cleaner",IF(I280&gt;=3000,"Sony - sound bar, woofer and speakers",IF(I280&gt;=750,"Foot massager","Not eligible")))))</f>
        <v>Foot massager</v>
      </c>
    </row>
    <row r="281" spans="1:28" customFormat="1">
      <c r="A281" s="1" t="s">
        <v>792</v>
      </c>
      <c r="B281" s="21" t="s">
        <v>793</v>
      </c>
      <c r="C281" s="21" t="s">
        <v>59</v>
      </c>
      <c r="D281" s="1" t="s">
        <v>27</v>
      </c>
      <c r="E281" s="1" t="s">
        <v>765</v>
      </c>
      <c r="F281" s="1" t="s">
        <v>115</v>
      </c>
      <c r="G281" s="1" t="s">
        <v>9</v>
      </c>
      <c r="H281" s="23">
        <v>33</v>
      </c>
      <c r="I281" s="23">
        <v>825</v>
      </c>
      <c r="J281" s="2" t="str">
        <f t="shared" si="8"/>
        <v/>
      </c>
      <c r="K281" s="23" t="str">
        <f>IF(J281="","",I281-J281)</f>
        <v/>
      </c>
      <c r="L281" s="1" t="s">
        <v>73</v>
      </c>
      <c r="M281" s="12"/>
      <c r="N281" s="12"/>
      <c r="O281" s="12"/>
      <c r="P281" s="12"/>
      <c r="Q281" s="12"/>
      <c r="R281" s="12"/>
      <c r="S281" s="12"/>
      <c r="T281" s="12">
        <f>IF(M281="",0,INDEX(Sheet2!A$2:A$6,MATCH(M281,Sheet2!C$2:C$6,0)))</f>
        <v>0</v>
      </c>
      <c r="U281" s="12">
        <f>IF(N281="",0,INDEX(Sheet2!A$2:A$6,MATCH(N281,Sheet2!C$2:C$6,0)))</f>
        <v>0</v>
      </c>
      <c r="V281" s="12">
        <f>IF(O281="",0,INDEX(Sheet2!A$2:A$6,MATCH(O281,Sheet2!C$2:C$6,0)))</f>
        <v>0</v>
      </c>
      <c r="W281" s="12">
        <f>IF(P281="",0,INDEX(Sheet2!A$2:A$6,MATCH(P281,Sheet2!C$2:C$6,0)))</f>
        <v>0</v>
      </c>
      <c r="X281" s="12">
        <f>IF(Q281="",0,INDEX(Sheet2!A$2:A$6,MATCH(Q281,Sheet2!C$2:C$6,0)))</f>
        <v>0</v>
      </c>
      <c r="Y281" s="12">
        <f>IF(R281="",0,INDEX(Sheet2!A$2:A$6,MATCH(R281,Sheet2!C$2:C$6,0)))</f>
        <v>0</v>
      </c>
      <c r="Z281" s="12">
        <f t="shared" si="9"/>
        <v>0</v>
      </c>
      <c r="AA281" s="12" t="str">
        <f>IF(I281&gt;=7500,"E",IF(I281&gt;=6800,"D",IF(I281&gt;=4200,"C",IF(I281&gt;=3000,"B",IF(I281&gt;=750,"A","Below Slab")))))</f>
        <v>A</v>
      </c>
      <c r="AB281" s="19" t="str">
        <f>IF(I281&gt;=7500,"Samsung front-load washing machine",IF(I281&gt;=6800,"Apple iPad",IF(I281&gt;=4200,"Robot Vacuum cleaner",IF(I281&gt;=3000,"Sony - sound bar, woofer and speakers",IF(I281&gt;=750,"Foot massager","Not eligible")))))</f>
        <v>Foot massager</v>
      </c>
    </row>
    <row r="282" spans="1:28" customFormat="1">
      <c r="A282" s="1" t="s">
        <v>794</v>
      </c>
      <c r="B282" s="21" t="s">
        <v>795</v>
      </c>
      <c r="C282" s="21" t="s">
        <v>59</v>
      </c>
      <c r="D282" s="1" t="s">
        <v>27</v>
      </c>
      <c r="E282" s="1" t="s">
        <v>796</v>
      </c>
      <c r="F282" s="1" t="s">
        <v>115</v>
      </c>
      <c r="G282" s="1" t="s">
        <v>9</v>
      </c>
      <c r="H282" s="23">
        <v>42.93</v>
      </c>
      <c r="I282" s="23">
        <v>1073.25</v>
      </c>
      <c r="J282" s="2" t="str">
        <f t="shared" si="8"/>
        <v/>
      </c>
      <c r="K282" s="23" t="str">
        <f>IF(J282="","",I282-J282)</f>
        <v/>
      </c>
      <c r="L282" s="1" t="s">
        <v>73</v>
      </c>
      <c r="M282" s="12"/>
      <c r="N282" s="12"/>
      <c r="O282" s="12"/>
      <c r="P282" s="12"/>
      <c r="Q282" s="12"/>
      <c r="R282" s="12"/>
      <c r="S282" s="12"/>
      <c r="T282" s="12">
        <f>IF(M282="",0,INDEX(Sheet2!A$2:A$6,MATCH(M282,Sheet2!C$2:C$6,0)))</f>
        <v>0</v>
      </c>
      <c r="U282" s="12">
        <f>IF(N282="",0,INDEX(Sheet2!A$2:A$6,MATCH(N282,Sheet2!C$2:C$6,0)))</f>
        <v>0</v>
      </c>
      <c r="V282" s="12">
        <f>IF(O282="",0,INDEX(Sheet2!A$2:A$6,MATCH(O282,Sheet2!C$2:C$6,0)))</f>
        <v>0</v>
      </c>
      <c r="W282" s="12">
        <f>IF(P282="",0,INDEX(Sheet2!A$2:A$6,MATCH(P282,Sheet2!C$2:C$6,0)))</f>
        <v>0</v>
      </c>
      <c r="X282" s="12">
        <f>IF(Q282="",0,INDEX(Sheet2!A$2:A$6,MATCH(Q282,Sheet2!C$2:C$6,0)))</f>
        <v>0</v>
      </c>
      <c r="Y282" s="12">
        <f>IF(R282="",0,INDEX(Sheet2!A$2:A$6,MATCH(R282,Sheet2!C$2:C$6,0)))</f>
        <v>0</v>
      </c>
      <c r="Z282" s="12">
        <f t="shared" si="9"/>
        <v>0</v>
      </c>
      <c r="AA282" s="12" t="str">
        <f>IF(I282&gt;=7500,"E",IF(I282&gt;=6800,"D",IF(I282&gt;=4200,"C",IF(I282&gt;=3000,"B",IF(I282&gt;=750,"A","Below Slab")))))</f>
        <v>A</v>
      </c>
      <c r="AB282" s="19" t="str">
        <f>IF(I282&gt;=7500,"Samsung front-load washing machine",IF(I282&gt;=6800,"Apple iPad",IF(I282&gt;=4200,"Robot Vacuum cleaner",IF(I282&gt;=3000,"Sony - sound bar, woofer and speakers",IF(I282&gt;=750,"Foot massager","Not eligible")))))</f>
        <v>Foot massager</v>
      </c>
    </row>
    <row r="283" spans="1:28" customFormat="1">
      <c r="A283" s="1" t="s">
        <v>797</v>
      </c>
      <c r="B283" s="21" t="s">
        <v>798</v>
      </c>
      <c r="C283" s="21" t="s">
        <v>58</v>
      </c>
      <c r="D283" s="1" t="s">
        <v>28</v>
      </c>
      <c r="E283" s="1" t="s">
        <v>799</v>
      </c>
      <c r="F283" s="1" t="s">
        <v>115</v>
      </c>
      <c r="G283" s="1" t="s">
        <v>9</v>
      </c>
      <c r="H283" s="23">
        <v>140.14000000000001</v>
      </c>
      <c r="I283" s="23">
        <v>4204.2000000000007</v>
      </c>
      <c r="J283" s="2" t="str">
        <f t="shared" si="8"/>
        <v/>
      </c>
      <c r="K283" s="23" t="str">
        <f>IF(J283="","",I283-J283)</f>
        <v/>
      </c>
      <c r="L283" s="1" t="s">
        <v>77</v>
      </c>
      <c r="M283" s="12"/>
      <c r="N283" s="12"/>
      <c r="O283" s="12"/>
      <c r="P283" s="12"/>
      <c r="Q283" s="12"/>
      <c r="R283" s="12"/>
      <c r="S283" s="12"/>
      <c r="T283" s="12">
        <f>IF(M283="",0,INDEX(Sheet2!A$2:A$6,MATCH(M283,Sheet2!C$2:C$6,0)))</f>
        <v>0</v>
      </c>
      <c r="U283" s="12">
        <f>IF(N283="",0,INDEX(Sheet2!A$2:A$6,MATCH(N283,Sheet2!C$2:C$6,0)))</f>
        <v>0</v>
      </c>
      <c r="V283" s="12">
        <f>IF(O283="",0,INDEX(Sheet2!A$2:A$6,MATCH(O283,Sheet2!C$2:C$6,0)))</f>
        <v>0</v>
      </c>
      <c r="W283" s="12">
        <f>IF(P283="",0,INDEX(Sheet2!A$2:A$6,MATCH(P283,Sheet2!C$2:C$6,0)))</f>
        <v>0</v>
      </c>
      <c r="X283" s="12">
        <f>IF(Q283="",0,INDEX(Sheet2!A$2:A$6,MATCH(Q283,Sheet2!C$2:C$6,0)))</f>
        <v>0</v>
      </c>
      <c r="Y283" s="12">
        <f>IF(R283="",0,INDEX(Sheet2!A$2:A$6,MATCH(R283,Sheet2!C$2:C$6,0)))</f>
        <v>0</v>
      </c>
      <c r="Z283" s="12">
        <f t="shared" si="9"/>
        <v>0</v>
      </c>
      <c r="AA283" s="12" t="str">
        <f>IF(I283&gt;=7500,"E",IF(I283&gt;=6800,"D",IF(I283&gt;=4200,"C",IF(I283&gt;=3000,"B",IF(I283&gt;=750,"A","Below Slab")))))</f>
        <v>C</v>
      </c>
      <c r="AB283" s="19" t="str">
        <f>IF(I283&gt;=7500,"Samsung front-load washing machine",IF(I283&gt;=6800,"Apple iPad",IF(I283&gt;=4200,"Robot Vacuum cleaner",IF(I283&gt;=3000,"Sony - sound bar, woofer and speakers",IF(I283&gt;=750,"Foot massager","Not eligible")))))</f>
        <v>Robot Vacuum cleaner</v>
      </c>
    </row>
    <row r="284" spans="1:28" customFormat="1">
      <c r="A284" s="1" t="s">
        <v>800</v>
      </c>
      <c r="B284" s="21" t="s">
        <v>801</v>
      </c>
      <c r="C284" s="21" t="s">
        <v>58</v>
      </c>
      <c r="D284" s="1" t="s">
        <v>28</v>
      </c>
      <c r="E284" s="1" t="s">
        <v>802</v>
      </c>
      <c r="F284" s="1" t="s">
        <v>115</v>
      </c>
      <c r="G284" s="1" t="s">
        <v>9</v>
      </c>
      <c r="H284" s="23">
        <v>56.59</v>
      </c>
      <c r="I284" s="23">
        <v>1556.2250000000001</v>
      </c>
      <c r="J284" s="2" t="str">
        <f t="shared" si="8"/>
        <v/>
      </c>
      <c r="K284" s="23" t="str">
        <f>IF(J284="","",I284-J284)</f>
        <v/>
      </c>
      <c r="L284" s="1" t="s">
        <v>73</v>
      </c>
      <c r="M284" s="12"/>
      <c r="N284" s="12"/>
      <c r="O284" s="12"/>
      <c r="P284" s="12"/>
      <c r="Q284" s="12"/>
      <c r="R284" s="12"/>
      <c r="S284" s="12"/>
      <c r="T284" s="12">
        <f>IF(M284="",0,INDEX(Sheet2!A$2:A$6,MATCH(M284,Sheet2!C$2:C$6,0)))</f>
        <v>0</v>
      </c>
      <c r="U284" s="12">
        <f>IF(N284="",0,INDEX(Sheet2!A$2:A$6,MATCH(N284,Sheet2!C$2:C$6,0)))</f>
        <v>0</v>
      </c>
      <c r="V284" s="12">
        <f>IF(O284="",0,INDEX(Sheet2!A$2:A$6,MATCH(O284,Sheet2!C$2:C$6,0)))</f>
        <v>0</v>
      </c>
      <c r="W284" s="12">
        <f>IF(P284="",0,INDEX(Sheet2!A$2:A$6,MATCH(P284,Sheet2!C$2:C$6,0)))</f>
        <v>0</v>
      </c>
      <c r="X284" s="12">
        <f>IF(Q284="",0,INDEX(Sheet2!A$2:A$6,MATCH(Q284,Sheet2!C$2:C$6,0)))</f>
        <v>0</v>
      </c>
      <c r="Y284" s="12">
        <f>IF(R284="",0,INDEX(Sheet2!A$2:A$6,MATCH(R284,Sheet2!C$2:C$6,0)))</f>
        <v>0</v>
      </c>
      <c r="Z284" s="12">
        <f t="shared" si="9"/>
        <v>0</v>
      </c>
      <c r="AA284" s="12" t="str">
        <f>IF(I284&gt;=7500,"E",IF(I284&gt;=6800,"D",IF(I284&gt;=4200,"C",IF(I284&gt;=3000,"B",IF(I284&gt;=750,"A","Below Slab")))))</f>
        <v>A</v>
      </c>
      <c r="AB284" s="19" t="str">
        <f>IF(I284&gt;=7500,"Samsung front-load washing machine",IF(I284&gt;=6800,"Apple iPad",IF(I284&gt;=4200,"Robot Vacuum cleaner",IF(I284&gt;=3000,"Sony - sound bar, woofer and speakers",IF(I284&gt;=750,"Foot massager","Not eligible")))))</f>
        <v>Foot massager</v>
      </c>
    </row>
    <row r="285" spans="1:28" customFormat="1">
      <c r="A285" s="1" t="s">
        <v>803</v>
      </c>
      <c r="B285" s="21" t="s">
        <v>798</v>
      </c>
      <c r="C285" s="21" t="s">
        <v>58</v>
      </c>
      <c r="D285" s="1" t="s">
        <v>28</v>
      </c>
      <c r="E285" s="1" t="s">
        <v>799</v>
      </c>
      <c r="F285" s="1" t="s">
        <v>115</v>
      </c>
      <c r="G285" s="1" t="s">
        <v>9</v>
      </c>
      <c r="H285" s="23">
        <v>81.63</v>
      </c>
      <c r="I285" s="23">
        <v>2244.8250000000003</v>
      </c>
      <c r="J285" s="2" t="str">
        <f t="shared" si="8"/>
        <v/>
      </c>
      <c r="K285" s="23" t="str">
        <f>IF(J285="","",I285-J285)</f>
        <v/>
      </c>
      <c r="L285" s="1" t="s">
        <v>73</v>
      </c>
      <c r="M285" s="12"/>
      <c r="N285" s="12"/>
      <c r="O285" s="12"/>
      <c r="P285" s="12"/>
      <c r="Q285" s="12"/>
      <c r="R285" s="12"/>
      <c r="S285" s="12"/>
      <c r="T285" s="12">
        <f>IF(M285="",0,INDEX(Sheet2!A$2:A$6,MATCH(M285,Sheet2!C$2:C$6,0)))</f>
        <v>0</v>
      </c>
      <c r="U285" s="12">
        <f>IF(N285="",0,INDEX(Sheet2!A$2:A$6,MATCH(N285,Sheet2!C$2:C$6,0)))</f>
        <v>0</v>
      </c>
      <c r="V285" s="12">
        <f>IF(O285="",0,INDEX(Sheet2!A$2:A$6,MATCH(O285,Sheet2!C$2:C$6,0)))</f>
        <v>0</v>
      </c>
      <c r="W285" s="12">
        <f>IF(P285="",0,INDEX(Sheet2!A$2:A$6,MATCH(P285,Sheet2!C$2:C$6,0)))</f>
        <v>0</v>
      </c>
      <c r="X285" s="12">
        <f>IF(Q285="",0,INDEX(Sheet2!A$2:A$6,MATCH(Q285,Sheet2!C$2:C$6,0)))</f>
        <v>0</v>
      </c>
      <c r="Y285" s="12">
        <f>IF(R285="",0,INDEX(Sheet2!A$2:A$6,MATCH(R285,Sheet2!C$2:C$6,0)))</f>
        <v>0</v>
      </c>
      <c r="Z285" s="12">
        <f t="shared" si="9"/>
        <v>0</v>
      </c>
      <c r="AA285" s="12" t="str">
        <f>IF(I285&gt;=7500,"E",IF(I285&gt;=6800,"D",IF(I285&gt;=4200,"C",IF(I285&gt;=3000,"B",IF(I285&gt;=750,"A","Below Slab")))))</f>
        <v>A</v>
      </c>
      <c r="AB285" s="19" t="str">
        <f>IF(I285&gt;=7500,"Samsung front-load washing machine",IF(I285&gt;=6800,"Apple iPad",IF(I285&gt;=4200,"Robot Vacuum cleaner",IF(I285&gt;=3000,"Sony - sound bar, woofer and speakers",IF(I285&gt;=750,"Foot massager","Not eligible")))))</f>
        <v>Foot massager</v>
      </c>
    </row>
    <row r="286" spans="1:28" customFormat="1">
      <c r="A286" s="1" t="s">
        <v>804</v>
      </c>
      <c r="B286" s="21" t="s">
        <v>805</v>
      </c>
      <c r="C286" s="21" t="s">
        <v>58</v>
      </c>
      <c r="D286" s="1" t="s">
        <v>28</v>
      </c>
      <c r="E286" s="1" t="s">
        <v>806</v>
      </c>
      <c r="F286" s="1" t="s">
        <v>115</v>
      </c>
      <c r="G286" s="1" t="s">
        <v>9</v>
      </c>
      <c r="H286" s="23">
        <v>37.53</v>
      </c>
      <c r="I286" s="23">
        <v>938.25</v>
      </c>
      <c r="J286" s="2" t="str">
        <f t="shared" si="8"/>
        <v/>
      </c>
      <c r="K286" s="23" t="str">
        <f>IF(J286="","",I286-J286)</f>
        <v/>
      </c>
      <c r="L286" s="1" t="s">
        <v>73</v>
      </c>
      <c r="M286" s="12"/>
      <c r="N286" s="12"/>
      <c r="O286" s="12"/>
      <c r="P286" s="12"/>
      <c r="Q286" s="12"/>
      <c r="R286" s="12"/>
      <c r="S286" s="12"/>
      <c r="T286" s="12">
        <f>IF(M286="",0,INDEX(Sheet2!A$2:A$6,MATCH(M286,Sheet2!C$2:C$6,0)))</f>
        <v>0</v>
      </c>
      <c r="U286" s="12">
        <f>IF(N286="",0,INDEX(Sheet2!A$2:A$6,MATCH(N286,Sheet2!C$2:C$6,0)))</f>
        <v>0</v>
      </c>
      <c r="V286" s="12">
        <f>IF(O286="",0,INDEX(Sheet2!A$2:A$6,MATCH(O286,Sheet2!C$2:C$6,0)))</f>
        <v>0</v>
      </c>
      <c r="W286" s="12">
        <f>IF(P286="",0,INDEX(Sheet2!A$2:A$6,MATCH(P286,Sheet2!C$2:C$6,0)))</f>
        <v>0</v>
      </c>
      <c r="X286" s="12">
        <f>IF(Q286="",0,INDEX(Sheet2!A$2:A$6,MATCH(Q286,Sheet2!C$2:C$6,0)))</f>
        <v>0</v>
      </c>
      <c r="Y286" s="12">
        <f>IF(R286="",0,INDEX(Sheet2!A$2:A$6,MATCH(R286,Sheet2!C$2:C$6,0)))</f>
        <v>0</v>
      </c>
      <c r="Z286" s="12">
        <f t="shared" si="9"/>
        <v>0</v>
      </c>
      <c r="AA286" s="12" t="str">
        <f>IF(I286&gt;=7500,"E",IF(I286&gt;=6800,"D",IF(I286&gt;=4200,"C",IF(I286&gt;=3000,"B",IF(I286&gt;=750,"A","Below Slab")))))</f>
        <v>A</v>
      </c>
      <c r="AB286" s="19" t="str">
        <f>IF(I286&gt;=7500,"Samsung front-load washing machine",IF(I286&gt;=6800,"Apple iPad",IF(I286&gt;=4200,"Robot Vacuum cleaner",IF(I286&gt;=3000,"Sony - sound bar, woofer and speakers",IF(I286&gt;=750,"Foot massager","Not eligible")))))</f>
        <v>Foot massager</v>
      </c>
    </row>
    <row r="287" spans="1:28" customFormat="1">
      <c r="A287" s="1" t="s">
        <v>807</v>
      </c>
      <c r="B287" s="21" t="s">
        <v>808</v>
      </c>
      <c r="C287" s="21" t="s">
        <v>58</v>
      </c>
      <c r="D287" s="1" t="s">
        <v>28</v>
      </c>
      <c r="E287" s="1" t="s">
        <v>802</v>
      </c>
      <c r="F287" s="1" t="s">
        <v>115</v>
      </c>
      <c r="G287" s="1" t="s">
        <v>9</v>
      </c>
      <c r="H287" s="23">
        <v>112</v>
      </c>
      <c r="I287" s="23">
        <v>3360</v>
      </c>
      <c r="J287" s="2" t="str">
        <f t="shared" si="8"/>
        <v/>
      </c>
      <c r="K287" s="23" t="str">
        <f>IF(J287="","",I287-J287)</f>
        <v/>
      </c>
      <c r="L287" s="1" t="s">
        <v>134</v>
      </c>
      <c r="M287" s="12"/>
      <c r="N287" s="12"/>
      <c r="O287" s="12"/>
      <c r="P287" s="12"/>
      <c r="Q287" s="12"/>
      <c r="R287" s="12"/>
      <c r="S287" s="12"/>
      <c r="T287" s="12">
        <f>IF(M287="",0,INDEX(Sheet2!A$2:A$6,MATCH(M287,Sheet2!C$2:C$6,0)))</f>
        <v>0</v>
      </c>
      <c r="U287" s="12">
        <f>IF(N287="",0,INDEX(Sheet2!A$2:A$6,MATCH(N287,Sheet2!C$2:C$6,0)))</f>
        <v>0</v>
      </c>
      <c r="V287" s="12">
        <f>IF(O287="",0,INDEX(Sheet2!A$2:A$6,MATCH(O287,Sheet2!C$2:C$6,0)))</f>
        <v>0</v>
      </c>
      <c r="W287" s="12">
        <f>IF(P287="",0,INDEX(Sheet2!A$2:A$6,MATCH(P287,Sheet2!C$2:C$6,0)))</f>
        <v>0</v>
      </c>
      <c r="X287" s="12">
        <f>IF(Q287="",0,INDEX(Sheet2!A$2:A$6,MATCH(Q287,Sheet2!C$2:C$6,0)))</f>
        <v>0</v>
      </c>
      <c r="Y287" s="12">
        <f>IF(R287="",0,INDEX(Sheet2!A$2:A$6,MATCH(R287,Sheet2!C$2:C$6,0)))</f>
        <v>0</v>
      </c>
      <c r="Z287" s="12">
        <f t="shared" si="9"/>
        <v>0</v>
      </c>
      <c r="AA287" s="12" t="str">
        <f>IF(I287&gt;=7500,"E",IF(I287&gt;=6800,"D",IF(I287&gt;=4200,"C",IF(I287&gt;=3000,"B",IF(I287&gt;=750,"A","Below Slab")))))</f>
        <v>B</v>
      </c>
      <c r="AB287" s="19" t="str">
        <f>IF(I287&gt;=7500,"Samsung front-load washing machine",IF(I287&gt;=6800,"Apple iPad",IF(I287&gt;=4200,"Robot Vacuum cleaner",IF(I287&gt;=3000,"Sony - sound bar, woofer and speakers",IF(I287&gt;=750,"Foot massager","Not eligible")))))</f>
        <v>Sony - sound bar, woofer and speakers</v>
      </c>
    </row>
    <row r="288" spans="1:28" customFormat="1">
      <c r="A288" s="1" t="s">
        <v>809</v>
      </c>
      <c r="B288" s="21" t="s">
        <v>810</v>
      </c>
      <c r="C288" s="21" t="s">
        <v>58</v>
      </c>
      <c r="D288" s="1" t="s">
        <v>28</v>
      </c>
      <c r="E288" s="1" t="s">
        <v>806</v>
      </c>
      <c r="F288" s="1" t="s">
        <v>115</v>
      </c>
      <c r="G288" s="1" t="s">
        <v>9</v>
      </c>
      <c r="H288" s="23">
        <v>51.75</v>
      </c>
      <c r="I288" s="23">
        <v>1423.1250000000002</v>
      </c>
      <c r="J288" s="2" t="str">
        <f t="shared" si="8"/>
        <v/>
      </c>
      <c r="K288" s="23" t="str">
        <f>IF(J288="","",I288-J288)</f>
        <v/>
      </c>
      <c r="L288" s="1" t="s">
        <v>73</v>
      </c>
      <c r="M288" s="12"/>
      <c r="N288" s="12"/>
      <c r="O288" s="12"/>
      <c r="P288" s="12"/>
      <c r="Q288" s="12"/>
      <c r="R288" s="12"/>
      <c r="S288" s="12"/>
      <c r="T288" s="12">
        <f>IF(M288="",0,INDEX(Sheet2!A$2:A$6,MATCH(M288,Sheet2!C$2:C$6,0)))</f>
        <v>0</v>
      </c>
      <c r="U288" s="12">
        <f>IF(N288="",0,INDEX(Sheet2!A$2:A$6,MATCH(N288,Sheet2!C$2:C$6,0)))</f>
        <v>0</v>
      </c>
      <c r="V288" s="12">
        <f>IF(O288="",0,INDEX(Sheet2!A$2:A$6,MATCH(O288,Sheet2!C$2:C$6,0)))</f>
        <v>0</v>
      </c>
      <c r="W288" s="12">
        <f>IF(P288="",0,INDEX(Sheet2!A$2:A$6,MATCH(P288,Sheet2!C$2:C$6,0)))</f>
        <v>0</v>
      </c>
      <c r="X288" s="12">
        <f>IF(Q288="",0,INDEX(Sheet2!A$2:A$6,MATCH(Q288,Sheet2!C$2:C$6,0)))</f>
        <v>0</v>
      </c>
      <c r="Y288" s="12">
        <f>IF(R288="",0,INDEX(Sheet2!A$2:A$6,MATCH(R288,Sheet2!C$2:C$6,0)))</f>
        <v>0</v>
      </c>
      <c r="Z288" s="12">
        <f t="shared" si="9"/>
        <v>0</v>
      </c>
      <c r="AA288" s="12" t="str">
        <f>IF(I288&gt;=7500,"E",IF(I288&gt;=6800,"D",IF(I288&gt;=4200,"C",IF(I288&gt;=3000,"B",IF(I288&gt;=750,"A","Below Slab")))))</f>
        <v>A</v>
      </c>
      <c r="AB288" s="19" t="str">
        <f>IF(I288&gt;=7500,"Samsung front-load washing machine",IF(I288&gt;=6800,"Apple iPad",IF(I288&gt;=4200,"Robot Vacuum cleaner",IF(I288&gt;=3000,"Sony - sound bar, woofer and speakers",IF(I288&gt;=750,"Foot massager","Not eligible")))))</f>
        <v>Foot massager</v>
      </c>
    </row>
    <row r="289" spans="1:28" customFormat="1">
      <c r="A289" s="1" t="s">
        <v>811</v>
      </c>
      <c r="B289" s="21" t="s">
        <v>812</v>
      </c>
      <c r="C289" s="21" t="s">
        <v>58</v>
      </c>
      <c r="D289" s="1" t="s">
        <v>28</v>
      </c>
      <c r="E289" s="1" t="s">
        <v>799</v>
      </c>
      <c r="F289" s="1" t="s">
        <v>115</v>
      </c>
      <c r="G289" s="1" t="s">
        <v>9</v>
      </c>
      <c r="H289" s="23">
        <v>43</v>
      </c>
      <c r="I289" s="23">
        <v>1075</v>
      </c>
      <c r="J289" s="2" t="str">
        <f t="shared" si="8"/>
        <v/>
      </c>
      <c r="K289" s="23" t="str">
        <f>IF(J289="","",I289-J289)</f>
        <v/>
      </c>
      <c r="L289" s="1" t="s">
        <v>73</v>
      </c>
      <c r="M289" s="12"/>
      <c r="N289" s="12"/>
      <c r="O289" s="12"/>
      <c r="P289" s="12"/>
      <c r="Q289" s="12"/>
      <c r="R289" s="12"/>
      <c r="S289" s="12"/>
      <c r="T289" s="12">
        <f>IF(M289="",0,INDEX(Sheet2!A$2:A$6,MATCH(M289,Sheet2!C$2:C$6,0)))</f>
        <v>0</v>
      </c>
      <c r="U289" s="12">
        <f>IF(N289="",0,INDEX(Sheet2!A$2:A$6,MATCH(N289,Sheet2!C$2:C$6,0)))</f>
        <v>0</v>
      </c>
      <c r="V289" s="12">
        <f>IF(O289="",0,INDEX(Sheet2!A$2:A$6,MATCH(O289,Sheet2!C$2:C$6,0)))</f>
        <v>0</v>
      </c>
      <c r="W289" s="12">
        <f>IF(P289="",0,INDEX(Sheet2!A$2:A$6,MATCH(P289,Sheet2!C$2:C$6,0)))</f>
        <v>0</v>
      </c>
      <c r="X289" s="12">
        <f>IF(Q289="",0,INDEX(Sheet2!A$2:A$6,MATCH(Q289,Sheet2!C$2:C$6,0)))</f>
        <v>0</v>
      </c>
      <c r="Y289" s="12">
        <f>IF(R289="",0,INDEX(Sheet2!A$2:A$6,MATCH(R289,Sheet2!C$2:C$6,0)))</f>
        <v>0</v>
      </c>
      <c r="Z289" s="12">
        <f t="shared" si="9"/>
        <v>0</v>
      </c>
      <c r="AA289" s="12" t="str">
        <f>IF(I289&gt;=7500,"E",IF(I289&gt;=6800,"D",IF(I289&gt;=4200,"C",IF(I289&gt;=3000,"B",IF(I289&gt;=750,"A","Below Slab")))))</f>
        <v>A</v>
      </c>
      <c r="AB289" s="19" t="str">
        <f>IF(I289&gt;=7500,"Samsung front-load washing machine",IF(I289&gt;=6800,"Apple iPad",IF(I289&gt;=4200,"Robot Vacuum cleaner",IF(I289&gt;=3000,"Sony - sound bar, woofer and speakers",IF(I289&gt;=750,"Foot massager","Not eligible")))))</f>
        <v>Foot massager</v>
      </c>
    </row>
    <row r="290" spans="1:28" customFormat="1">
      <c r="A290" s="1" t="s">
        <v>813</v>
      </c>
      <c r="B290" s="21" t="s">
        <v>814</v>
      </c>
      <c r="C290" s="21" t="s">
        <v>58</v>
      </c>
      <c r="D290" s="1" t="s">
        <v>28</v>
      </c>
      <c r="E290" s="1" t="s">
        <v>815</v>
      </c>
      <c r="F290" s="1" t="s">
        <v>115</v>
      </c>
      <c r="G290" s="1" t="s">
        <v>9</v>
      </c>
      <c r="H290" s="23">
        <v>39</v>
      </c>
      <c r="I290" s="23">
        <v>975</v>
      </c>
      <c r="J290" s="2" t="str">
        <f t="shared" si="8"/>
        <v/>
      </c>
      <c r="K290" s="23" t="str">
        <f>IF(J290="","",I290-J290)</f>
        <v/>
      </c>
      <c r="L290" s="1" t="s">
        <v>73</v>
      </c>
      <c r="M290" s="12"/>
      <c r="N290" s="12"/>
      <c r="O290" s="12"/>
      <c r="P290" s="12"/>
      <c r="Q290" s="12"/>
      <c r="R290" s="12"/>
      <c r="S290" s="12"/>
      <c r="T290" s="12">
        <f>IF(M290="",0,INDEX(Sheet2!A$2:A$6,MATCH(M290,Sheet2!C$2:C$6,0)))</f>
        <v>0</v>
      </c>
      <c r="U290" s="12">
        <f>IF(N290="",0,INDEX(Sheet2!A$2:A$6,MATCH(N290,Sheet2!C$2:C$6,0)))</f>
        <v>0</v>
      </c>
      <c r="V290" s="12">
        <f>IF(O290="",0,INDEX(Sheet2!A$2:A$6,MATCH(O290,Sheet2!C$2:C$6,0)))</f>
        <v>0</v>
      </c>
      <c r="W290" s="12">
        <f>IF(P290="",0,INDEX(Sheet2!A$2:A$6,MATCH(P290,Sheet2!C$2:C$6,0)))</f>
        <v>0</v>
      </c>
      <c r="X290" s="12">
        <f>IF(Q290="",0,INDEX(Sheet2!A$2:A$6,MATCH(Q290,Sheet2!C$2:C$6,0)))</f>
        <v>0</v>
      </c>
      <c r="Y290" s="12">
        <f>IF(R290="",0,INDEX(Sheet2!A$2:A$6,MATCH(R290,Sheet2!C$2:C$6,0)))</f>
        <v>0</v>
      </c>
      <c r="Z290" s="12">
        <f t="shared" si="9"/>
        <v>0</v>
      </c>
      <c r="AA290" s="12" t="str">
        <f>IF(I290&gt;=7500,"E",IF(I290&gt;=6800,"D",IF(I290&gt;=4200,"C",IF(I290&gt;=3000,"B",IF(I290&gt;=750,"A","Below Slab")))))</f>
        <v>A</v>
      </c>
      <c r="AB290" s="19" t="str">
        <f>IF(I290&gt;=7500,"Samsung front-load washing machine",IF(I290&gt;=6800,"Apple iPad",IF(I290&gt;=4200,"Robot Vacuum cleaner",IF(I290&gt;=3000,"Sony - sound bar, woofer and speakers",IF(I290&gt;=750,"Foot massager","Not eligible")))))</f>
        <v>Foot massager</v>
      </c>
    </row>
    <row r="291" spans="1:28" customFormat="1">
      <c r="A291" s="1" t="s">
        <v>816</v>
      </c>
      <c r="B291" s="21" t="s">
        <v>817</v>
      </c>
      <c r="C291" s="21" t="s">
        <v>58</v>
      </c>
      <c r="D291" s="1" t="s">
        <v>28</v>
      </c>
      <c r="E291" s="1" t="s">
        <v>802</v>
      </c>
      <c r="F291" s="1" t="s">
        <v>115</v>
      </c>
      <c r="G291" s="1" t="s">
        <v>9</v>
      </c>
      <c r="H291" s="23">
        <v>41</v>
      </c>
      <c r="I291" s="23">
        <v>1025</v>
      </c>
      <c r="J291" s="2" t="str">
        <f t="shared" si="8"/>
        <v/>
      </c>
      <c r="K291" s="23" t="str">
        <f>IF(J291="","",I291-J291)</f>
        <v/>
      </c>
      <c r="L291" s="1" t="s">
        <v>73</v>
      </c>
      <c r="M291" s="12"/>
      <c r="N291" s="12"/>
      <c r="O291" s="12"/>
      <c r="P291" s="12"/>
      <c r="Q291" s="12"/>
      <c r="R291" s="12"/>
      <c r="S291" s="12"/>
      <c r="T291" s="12">
        <f>IF(M291="",0,INDEX(Sheet2!A$2:A$6,MATCH(M291,Sheet2!C$2:C$6,0)))</f>
        <v>0</v>
      </c>
      <c r="U291" s="12">
        <f>IF(N291="",0,INDEX(Sheet2!A$2:A$6,MATCH(N291,Sheet2!C$2:C$6,0)))</f>
        <v>0</v>
      </c>
      <c r="V291" s="12">
        <f>IF(O291="",0,INDEX(Sheet2!A$2:A$6,MATCH(O291,Sheet2!C$2:C$6,0)))</f>
        <v>0</v>
      </c>
      <c r="W291" s="12">
        <f>IF(P291="",0,INDEX(Sheet2!A$2:A$6,MATCH(P291,Sheet2!C$2:C$6,0)))</f>
        <v>0</v>
      </c>
      <c r="X291" s="12">
        <f>IF(Q291="",0,INDEX(Sheet2!A$2:A$6,MATCH(Q291,Sheet2!C$2:C$6,0)))</f>
        <v>0</v>
      </c>
      <c r="Y291" s="12">
        <f>IF(R291="",0,INDEX(Sheet2!A$2:A$6,MATCH(R291,Sheet2!C$2:C$6,0)))</f>
        <v>0</v>
      </c>
      <c r="Z291" s="12">
        <f t="shared" si="9"/>
        <v>0</v>
      </c>
      <c r="AA291" s="12" t="str">
        <f>IF(I291&gt;=7500,"E",IF(I291&gt;=6800,"D",IF(I291&gt;=4200,"C",IF(I291&gt;=3000,"B",IF(I291&gt;=750,"A","Below Slab")))))</f>
        <v>A</v>
      </c>
      <c r="AB291" s="19" t="str">
        <f>IF(I291&gt;=7500,"Samsung front-load washing machine",IF(I291&gt;=6800,"Apple iPad",IF(I291&gt;=4200,"Robot Vacuum cleaner",IF(I291&gt;=3000,"Sony - sound bar, woofer and speakers",IF(I291&gt;=750,"Foot massager","Not eligible")))))</f>
        <v>Foot massager</v>
      </c>
    </row>
    <row r="292" spans="1:28" customFormat="1">
      <c r="A292" s="1" t="s">
        <v>818</v>
      </c>
      <c r="B292" s="21" t="s">
        <v>819</v>
      </c>
      <c r="C292" s="21" t="s">
        <v>58</v>
      </c>
      <c r="D292" s="1" t="s">
        <v>28</v>
      </c>
      <c r="E292" s="1" t="s">
        <v>820</v>
      </c>
      <c r="F292" s="1" t="s">
        <v>115</v>
      </c>
      <c r="G292" s="1" t="s">
        <v>9</v>
      </c>
      <c r="H292" s="23">
        <v>45.4</v>
      </c>
      <c r="I292" s="23">
        <v>1135</v>
      </c>
      <c r="J292" s="2" t="str">
        <f t="shared" si="8"/>
        <v/>
      </c>
      <c r="K292" s="23" t="str">
        <f>IF(J292="","",I292-J292)</f>
        <v/>
      </c>
      <c r="L292" s="1" t="s">
        <v>73</v>
      </c>
      <c r="M292" s="12"/>
      <c r="N292" s="12"/>
      <c r="O292" s="12"/>
      <c r="P292" s="12"/>
      <c r="Q292" s="12"/>
      <c r="R292" s="12"/>
      <c r="S292" s="12"/>
      <c r="T292" s="12">
        <f>IF(M292="",0,INDEX(Sheet2!A$2:A$6,MATCH(M292,Sheet2!C$2:C$6,0)))</f>
        <v>0</v>
      </c>
      <c r="U292" s="12">
        <f>IF(N292="",0,INDEX(Sheet2!A$2:A$6,MATCH(N292,Sheet2!C$2:C$6,0)))</f>
        <v>0</v>
      </c>
      <c r="V292" s="12">
        <f>IF(O292="",0,INDEX(Sheet2!A$2:A$6,MATCH(O292,Sheet2!C$2:C$6,0)))</f>
        <v>0</v>
      </c>
      <c r="W292" s="12">
        <f>IF(P292="",0,INDEX(Sheet2!A$2:A$6,MATCH(P292,Sheet2!C$2:C$6,0)))</f>
        <v>0</v>
      </c>
      <c r="X292" s="12">
        <f>IF(Q292="",0,INDEX(Sheet2!A$2:A$6,MATCH(Q292,Sheet2!C$2:C$6,0)))</f>
        <v>0</v>
      </c>
      <c r="Y292" s="12">
        <f>IF(R292="",0,INDEX(Sheet2!A$2:A$6,MATCH(R292,Sheet2!C$2:C$6,0)))</f>
        <v>0</v>
      </c>
      <c r="Z292" s="12">
        <f t="shared" si="9"/>
        <v>0</v>
      </c>
      <c r="AA292" s="12" t="str">
        <f>IF(I292&gt;=7500,"E",IF(I292&gt;=6800,"D",IF(I292&gt;=4200,"C",IF(I292&gt;=3000,"B",IF(I292&gt;=750,"A","Below Slab")))))</f>
        <v>A</v>
      </c>
      <c r="AB292" s="19" t="str">
        <f>IF(I292&gt;=7500,"Samsung front-load washing machine",IF(I292&gt;=6800,"Apple iPad",IF(I292&gt;=4200,"Robot Vacuum cleaner",IF(I292&gt;=3000,"Sony - sound bar, woofer and speakers",IF(I292&gt;=750,"Foot massager","Not eligible")))))</f>
        <v>Foot massager</v>
      </c>
    </row>
    <row r="293" spans="1:28" customFormat="1">
      <c r="A293" s="1" t="s">
        <v>821</v>
      </c>
      <c r="B293" s="21" t="s">
        <v>822</v>
      </c>
      <c r="C293" s="21" t="s">
        <v>58</v>
      </c>
      <c r="D293" s="1" t="s">
        <v>28</v>
      </c>
      <c r="E293" s="1" t="s">
        <v>802</v>
      </c>
      <c r="F293" s="1" t="s">
        <v>115</v>
      </c>
      <c r="G293" s="1" t="s">
        <v>9</v>
      </c>
      <c r="H293" s="23">
        <v>50</v>
      </c>
      <c r="I293" s="23">
        <v>1375</v>
      </c>
      <c r="J293" s="2" t="str">
        <f t="shared" si="8"/>
        <v/>
      </c>
      <c r="K293" s="23" t="str">
        <f>IF(J293="","",I293-J293)</f>
        <v/>
      </c>
      <c r="L293" s="1" t="s">
        <v>73</v>
      </c>
      <c r="M293" s="12"/>
      <c r="N293" s="12"/>
      <c r="O293" s="12"/>
      <c r="P293" s="12"/>
      <c r="Q293" s="12"/>
      <c r="R293" s="12"/>
      <c r="S293" s="12"/>
      <c r="T293" s="12">
        <f>IF(M293="",0,INDEX(Sheet2!A$2:A$6,MATCH(M293,Sheet2!C$2:C$6,0)))</f>
        <v>0</v>
      </c>
      <c r="U293" s="12">
        <f>IF(N293="",0,INDEX(Sheet2!A$2:A$6,MATCH(N293,Sheet2!C$2:C$6,0)))</f>
        <v>0</v>
      </c>
      <c r="V293" s="12">
        <f>IF(O293="",0,INDEX(Sheet2!A$2:A$6,MATCH(O293,Sheet2!C$2:C$6,0)))</f>
        <v>0</v>
      </c>
      <c r="W293" s="12">
        <f>IF(P293="",0,INDEX(Sheet2!A$2:A$6,MATCH(P293,Sheet2!C$2:C$6,0)))</f>
        <v>0</v>
      </c>
      <c r="X293" s="12">
        <f>IF(Q293="",0,INDEX(Sheet2!A$2:A$6,MATCH(Q293,Sheet2!C$2:C$6,0)))</f>
        <v>0</v>
      </c>
      <c r="Y293" s="12">
        <f>IF(R293="",0,INDEX(Sheet2!A$2:A$6,MATCH(R293,Sheet2!C$2:C$6,0)))</f>
        <v>0</v>
      </c>
      <c r="Z293" s="12">
        <f t="shared" si="9"/>
        <v>0</v>
      </c>
      <c r="AA293" s="12" t="str">
        <f>IF(I293&gt;=7500,"E",IF(I293&gt;=6800,"D",IF(I293&gt;=4200,"C",IF(I293&gt;=3000,"B",IF(I293&gt;=750,"A","Below Slab")))))</f>
        <v>A</v>
      </c>
      <c r="AB293" s="19" t="str">
        <f>IF(I293&gt;=7500,"Samsung front-load washing machine",IF(I293&gt;=6800,"Apple iPad",IF(I293&gt;=4200,"Robot Vacuum cleaner",IF(I293&gt;=3000,"Sony - sound bar, woofer and speakers",IF(I293&gt;=750,"Foot massager","Not eligible")))))</f>
        <v>Foot massager</v>
      </c>
    </row>
  </sheetData>
  <sortState xmlns:xlrd2="http://schemas.microsoft.com/office/spreadsheetml/2017/richdata2" ref="A2:AB293">
    <sortCondition ref="G2:G293"/>
    <sortCondition ref="D2:D293"/>
    <sortCondition ref="C2:C293"/>
  </sortState>
  <conditionalFormatting sqref="K2:K293">
    <cfRule type="cellIs" dxfId="2" priority="1" operator="lessThan">
      <formula>0</formula>
    </cfRule>
  </conditionalFormatting>
  <conditionalFormatting sqref="M2:S293">
    <cfRule type="expression" dxfId="1" priority="2">
      <formula>AND($K2&lt;0,$K2&lt;&gt;"")</formula>
    </cfRule>
  </conditionalFormatting>
  <dataValidations count="8">
    <dataValidation type="list" allowBlank="1" showInputMessage="1" showErrorMessage="1" errorTitle="Invalid Gift" error="Please select a gift from the dropdown list only." promptTitle="Select Gift" prompt="Choose the gift opted by the dealer from the dropdown list." sqref="M2:M293" xr:uid="{1BEE4B7B-D3FD-4D32-9C98-7CCC86312480}">
      <formula1>"Foot massager,Sony - sound bar woofer and speakers,Robot Vacuum cleaner,Apple iPad,Samsung front-load washing machine"</formula1>
    </dataValidation>
    <dataValidation type="list" allowBlank="1" showInputMessage="1" showErrorMessage="1" errorTitle="Invalid Gift" error="Please select a gift from the dropdown list only." promptTitle="Select Gift 2" prompt="Choose the 2nd gift opted by the dealer (optional)." sqref="N2:N293 O2" xr:uid="{C8C51D18-1F3B-44E0-9469-65B509725053}">
      <formula1>"Foot massager,Sony - sound bar woofer and speakers,Robot Vacuum cleaner,Apple iPad,Samsung front-load washing machine"</formula1>
    </dataValidation>
    <dataValidation type="list" allowBlank="1" showInputMessage="1" showErrorMessage="1" errorTitle="Invalid Gift" error="Please select a gift from the dropdown list only." promptTitle="Select Gift 3" prompt="Choose the 3rd gift opted by the dealer (optional)." sqref="O3:O293" xr:uid="{37F01328-13C5-4A90-BA2B-C0B97B2108A7}">
      <formula1>"Foot massager,Sony - sound bar woofer and speakers,Robot Vacuum cleaner,Apple iPad,Samsung front-load washing machine"</formula1>
    </dataValidation>
    <dataValidation type="list" allowBlank="1" showInputMessage="1" showErrorMessage="1" errorTitle="Invalid Gift" error="Please select a gift from the dropdown list only." promptTitle="Select Gift 4" prompt="Choose the 4th gift opted by the dealer (optional)." sqref="P2:P293" xr:uid="{56C180CE-CE2C-4349-A893-98755DD40BD1}">
      <formula1>"Foot massager,Sony - sound bar woofer and speakers,Robot Vacuum cleaner,Apple iPad,Samsung front-load washing machine"</formula1>
    </dataValidation>
    <dataValidation type="list" allowBlank="1" showInputMessage="1" showErrorMessage="1" errorTitle="Invalid Gift" error="Please select a gift from the dropdown list only." promptTitle="Select Gift 5" prompt="Choose the 5th gift opted by the dealer (optional)." sqref="Q2:Q293" xr:uid="{CDB8C759-8E56-4823-9B74-E48CEBC901A4}">
      <formula1>"Foot massager,Sony - sound bar woofer and speakers,Robot Vacuum cleaner,Apple iPad,Samsung front-load washing machine"</formula1>
    </dataValidation>
    <dataValidation type="list" allowBlank="1" showInputMessage="1" showErrorMessage="1" errorTitle="Invalid Gift" error="Please select a gift from the dropdown list only." promptTitle="Select Gift 6" prompt="Choose the 6th gift opted by the dealer (optional)." sqref="R2:R293" xr:uid="{BA1D27F9-C3CC-4633-A2E7-E937C9488775}">
      <formula1>"Foot massager,Sony - sound bar woofer and speakers,Robot Vacuum cleaner,Apple iPad,Samsung front-load washing machine"</formula1>
    </dataValidation>
    <dataValidation allowBlank="1" showInputMessage="1" showErrorMessage="1" sqref="S294:S1048576" xr:uid="{E9D3E9B5-97A9-406C-9A15-397A1E91FF33}"/>
    <dataValidation type="list" allowBlank="1" showInputMessage="1" showErrorMessage="1" sqref="S2:S293" xr:uid="{C764683E-955C-49AB-91DE-CB6ACDB05901}">
      <formula1>"Yes"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5F11FA-26D2-4B22-8DEC-DF6E3A56AF87}">
  <dimension ref="A1:I7"/>
  <sheetViews>
    <sheetView workbookViewId="0">
      <selection activeCell="C3" sqref="C3"/>
    </sheetView>
  </sheetViews>
  <sheetFormatPr defaultRowHeight="15"/>
  <cols>
    <col min="1" max="1" width="7" bestFit="1" customWidth="1"/>
    <col min="2" max="2" width="14.85546875" bestFit="1" customWidth="1"/>
    <col min="3" max="3" width="35.7109375" bestFit="1" customWidth="1"/>
    <col min="4" max="4" width="4.85546875" bestFit="1" customWidth="1"/>
    <col min="5" max="5" width="16.7109375" bestFit="1" customWidth="1"/>
    <col min="6" max="6" width="11" bestFit="1" customWidth="1"/>
    <col min="7" max="7" width="16.85546875" bestFit="1" customWidth="1"/>
    <col min="8" max="8" width="9.7109375" bestFit="1" customWidth="1"/>
    <col min="9" max="9" width="18.7109375" bestFit="1" customWidth="1"/>
  </cols>
  <sheetData>
    <row r="1" spans="1:9">
      <c r="A1" s="4" t="s">
        <v>823</v>
      </c>
      <c r="B1" s="4" t="s">
        <v>824</v>
      </c>
      <c r="C1" s="5" t="s">
        <v>825</v>
      </c>
      <c r="D1" s="4" t="s">
        <v>67</v>
      </c>
      <c r="E1" s="4"/>
      <c r="F1" s="4"/>
      <c r="G1" s="4"/>
      <c r="H1" s="4"/>
      <c r="I1" s="4"/>
    </row>
    <row r="2" spans="1:9">
      <c r="A2" s="6">
        <v>750</v>
      </c>
      <c r="B2" s="7">
        <f>A2*5</f>
        <v>3750</v>
      </c>
      <c r="C2" s="8" t="s">
        <v>73</v>
      </c>
      <c r="D2" s="9" t="s">
        <v>72</v>
      </c>
      <c r="E2" s="6"/>
      <c r="F2" s="10"/>
      <c r="G2" s="10"/>
      <c r="H2" s="10"/>
      <c r="I2" s="11"/>
    </row>
    <row r="3" spans="1:9">
      <c r="A3" s="6">
        <v>3000</v>
      </c>
      <c r="B3" s="7">
        <f>A3*5</f>
        <v>15000</v>
      </c>
      <c r="C3" s="12" t="s">
        <v>826</v>
      </c>
      <c r="D3" s="9" t="s">
        <v>74</v>
      </c>
      <c r="E3" s="6"/>
      <c r="F3" s="10"/>
      <c r="G3" s="10"/>
      <c r="H3" s="10"/>
      <c r="I3" s="11"/>
    </row>
    <row r="4" spans="1:9">
      <c r="A4" s="6">
        <v>4200</v>
      </c>
      <c r="B4" s="7">
        <f>A4*5</f>
        <v>21000</v>
      </c>
      <c r="C4" s="8" t="s">
        <v>77</v>
      </c>
      <c r="D4" s="9" t="s">
        <v>76</v>
      </c>
      <c r="E4" s="6"/>
      <c r="F4" s="10"/>
      <c r="G4" s="10"/>
      <c r="H4" s="10"/>
      <c r="I4" s="11"/>
    </row>
    <row r="5" spans="1:9">
      <c r="A5" s="6">
        <v>6800</v>
      </c>
      <c r="B5" s="7">
        <f>A5*5</f>
        <v>34000</v>
      </c>
      <c r="C5" s="8" t="s">
        <v>79</v>
      </c>
      <c r="D5" s="9" t="s">
        <v>78</v>
      </c>
      <c r="E5" s="6"/>
      <c r="F5" s="10"/>
      <c r="G5" s="10"/>
      <c r="H5" s="10"/>
      <c r="I5" s="11"/>
    </row>
    <row r="6" spans="1:9">
      <c r="A6" s="6">
        <v>7500</v>
      </c>
      <c r="B6" s="7">
        <f>A6*5</f>
        <v>37500</v>
      </c>
      <c r="C6" s="8" t="s">
        <v>81</v>
      </c>
      <c r="D6" s="9" t="s">
        <v>80</v>
      </c>
      <c r="E6" s="6"/>
      <c r="F6" s="10"/>
      <c r="G6" s="10"/>
      <c r="H6" s="10"/>
      <c r="I6" s="11"/>
    </row>
    <row r="7" spans="1:9">
      <c r="C7" t="s">
        <v>827</v>
      </c>
    </row>
  </sheetData>
  <conditionalFormatting sqref="C3">
    <cfRule type="expression" dxfId="0" priority="1">
      <formula>AND($K3&lt;0,$K3&lt;&gt;"")</formula>
    </cfRule>
  </conditionalFormatting>
  <dataValidations count="1">
    <dataValidation type="list" allowBlank="1" showInputMessage="1" showErrorMessage="1" errorTitle="Invalid Gift" error="Please select a gift from the dropdown list only." promptTitle="Select Gift 2" prompt="Choose the 2nd gift opted by the dealer (optional)." sqref="C3" xr:uid="{AC6D32A2-A8BC-4BA8-8C7C-03E4328DCA17}">
      <formula1>"Foot massager,Sony - sound bar woofer and speakers,Robot Vacuum cleaner,Apple iPad,Samsung front-load washing machine"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2026-04-16T10:37:57Z</dcterms:created>
  <dcterms:modified xsi:type="dcterms:W3CDTF">2026-04-16T13:53:36Z</dcterms:modified>
  <cp:category/>
  <cp:contentStatus/>
</cp:coreProperties>
</file>